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a1e32e9c603a8ad/- OSAKE oficina/- OSAKE BODEGA y PEDIDOS/"/>
    </mc:Choice>
  </mc:AlternateContent>
  <xr:revisionPtr revIDLastSave="7494" documentId="8_{32599BC5-34CE-4909-B9A2-794FABCE0897}" xr6:coauthVersionLast="47" xr6:coauthVersionMax="47" xr10:uidLastSave="{A30CD7E2-21CF-49D9-8B4A-D53425801BEF}"/>
  <bookViews>
    <workbookView xWindow="-120" yWindow="-120" windowWidth="29040" windowHeight="15720" xr2:uid="{00000000-000D-0000-FFFF-FFFF00000000}"/>
  </bookViews>
  <sheets>
    <sheet name="ITINERARIO" sheetId="8" r:id="rId1"/>
    <sheet name="ALEJANDRA" sheetId="1" r:id="rId2"/>
    <sheet name="1" sheetId="2" r:id="rId3"/>
    <sheet name="2" sheetId="3" r:id="rId4"/>
    <sheet name="3" sheetId="4" r:id="rId5"/>
    <sheet name="4" sheetId="7" r:id="rId6"/>
    <sheet name="cheques y $" sheetId="9" r:id="rId7"/>
  </sheets>
  <definedNames>
    <definedName name="_xlnm._FilterDatabase" localSheetId="2" hidden="1">'1'!$K$40:$R$44</definedName>
    <definedName name="_xlnm._FilterDatabase" localSheetId="3" hidden="1">'2'!$L$63:$U$94</definedName>
    <definedName name="_xlnm._FilterDatabase" localSheetId="4" hidden="1">'3'!$K$77:$R$77</definedName>
    <definedName name="_xlnm._FilterDatabase" localSheetId="5" hidden="1">'4'!$B$31:$J$31</definedName>
    <definedName name="_xlnm._FilterDatabase" localSheetId="0" hidden="1">ITINERARIO!$C$3:$H$3</definedName>
    <definedName name="_xlnm.Print_Area" localSheetId="2">'1'!$B$2:$R$106</definedName>
    <definedName name="_xlnm.Print_Area" localSheetId="3">'2'!$B$2:$S$127</definedName>
    <definedName name="_xlnm.Print_Area" localSheetId="4">'3'!$B$2:$R$110</definedName>
    <definedName name="_xlnm.Print_Area" localSheetId="5">'4'!$B$2:$T$108</definedName>
    <definedName name="_xlnm.Print_Area" localSheetId="1">ALEJANDRA!$B$2:$U$103</definedName>
    <definedName name="_xlnm.Print_Area" localSheetId="0">ITINERARIO!$D$2:$P$110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2" i="2" l="1"/>
  <c r="S86" i="8"/>
  <c r="AM86" i="8"/>
  <c r="AH86" i="8"/>
  <c r="AC86" i="8"/>
  <c r="X86" i="8"/>
  <c r="AM56" i="8"/>
  <c r="AM26" i="8"/>
  <c r="AH56" i="8"/>
  <c r="AH26" i="8"/>
  <c r="AC56" i="8"/>
  <c r="AC26" i="8"/>
  <c r="X56" i="8"/>
  <c r="X26" i="8"/>
  <c r="S56" i="8"/>
  <c r="S26" i="8"/>
  <c r="S14" i="3"/>
  <c r="J113" i="3"/>
  <c r="N2" i="8"/>
  <c r="J23" i="3"/>
  <c r="T31" i="7"/>
  <c r="S13" i="3"/>
  <c r="S51" i="3"/>
  <c r="T86" i="3"/>
  <c r="S63" i="3"/>
  <c r="J63" i="3"/>
  <c r="J62" i="3"/>
  <c r="T21" i="3"/>
  <c r="S94" i="3"/>
  <c r="S93" i="3"/>
  <c r="S84" i="3"/>
  <c r="S75" i="3"/>
  <c r="S73" i="3"/>
  <c r="S72" i="3"/>
  <c r="J96" i="3"/>
  <c r="I21" i="4"/>
  <c r="S83" i="3"/>
  <c r="T83" i="3"/>
  <c r="T32" i="2"/>
  <c r="R31" i="2"/>
  <c r="S32" i="2"/>
  <c r="S69" i="3"/>
  <c r="S70" i="3"/>
  <c r="B81" i="1"/>
  <c r="J74" i="3"/>
  <c r="J49" i="3"/>
  <c r="J48" i="3"/>
  <c r="J51" i="3"/>
  <c r="J54" i="3"/>
  <c r="I101" i="2"/>
  <c r="K24" i="3"/>
  <c r="K21" i="3"/>
  <c r="S6" i="3"/>
  <c r="AH89" i="8" l="1"/>
  <c r="AC89" i="8"/>
  <c r="X89" i="8"/>
  <c r="S89" i="8"/>
  <c r="AM8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55" authorId="0" shapeId="0" xr:uid="{7C8C6E88-6463-44CE-84FA-C222D32DB663}">
      <text>
        <r>
          <rPr>
            <sz val="11"/>
            <color rgb="FF000000"/>
            <rFont val="Calibri"/>
            <family val="2"/>
          </rPr>
          <t>Felipe:
$2.374 el kilo (10 bolsas por kilo) C/IVA
precio 1-2023</t>
        </r>
      </text>
    </comment>
    <comment ref="Q100" authorId="0" shapeId="0" xr:uid="{317BA3DB-7107-4E9F-B676-F64288C4932D}">
      <text>
        <r>
          <rPr>
            <sz val="11"/>
            <color rgb="FF000000"/>
            <rFont val="Calibri"/>
            <family val="2"/>
          </rPr>
          <t>Felipe:
Para pisco de mora. Muy poco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Felipe Páez Muñoz</author>
  </authors>
  <commentList>
    <comment ref="Q20" authorId="0" shapeId="0" xr:uid="{00000000-0006-0000-0100-000001000000}">
      <text>
        <r>
          <rPr>
            <sz val="11"/>
            <color rgb="FF000000"/>
            <rFont val="Calibri"/>
            <family val="2"/>
          </rPr>
          <t>Osake:
Pote de 2K.
Porcionar 160gr (12.5 porciones c/ 2K)</t>
        </r>
      </text>
    </comment>
    <comment ref="J74" authorId="1" shapeId="0" xr:uid="{25244AEC-8EBA-49A4-8256-ABEB10641406}">
      <text>
        <r>
          <rPr>
            <b/>
            <sz val="9"/>
            <color indexed="81"/>
            <rFont val="Tahoma"/>
            <family val="2"/>
          </rPr>
          <t>Felipe Páez Muñoz:</t>
        </r>
        <r>
          <rPr>
            <sz val="9"/>
            <color indexed="81"/>
            <rFont val="Tahoma"/>
            <family val="2"/>
          </rPr>
          <t xml:space="preserve">
A NOVIEMBRE 2022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Páez</author>
    <author/>
  </authors>
  <commentList>
    <comment ref="H27" authorId="0" shapeId="0" xr:uid="{C2B6B219-BD26-4D81-A99A-B208A47F0FBE}">
      <text>
        <r>
          <rPr>
            <b/>
            <sz val="9"/>
            <color indexed="81"/>
            <rFont val="Tahoma"/>
            <family val="2"/>
          </rPr>
          <t>Felipe Páez:</t>
        </r>
        <r>
          <rPr>
            <sz val="9"/>
            <color indexed="81"/>
            <rFont val="Tahoma"/>
            <family val="2"/>
          </rPr>
          <t xml:space="preserve">
Tb sirven 80x110 x60 micras</t>
        </r>
      </text>
    </comment>
    <comment ref="J27" authorId="1" shapeId="0" xr:uid="{2713247E-EE1A-4594-9690-B9715E682498}">
      <text>
        <r>
          <rPr>
            <sz val="11"/>
            <color rgb="FF000000"/>
            <rFont val="Calibri"/>
            <family val="2"/>
          </rPr>
          <t>Felipe:
$2.374 el kilo (10 bolsas por kilo) C/IVA
precio 1-2023</t>
        </r>
      </text>
    </comment>
    <comment ref="H89" authorId="1" shapeId="0" xr:uid="{00000000-0006-0000-0200-00000A000000}">
      <text>
        <r>
          <rPr>
            <sz val="11"/>
            <color rgb="FF000000"/>
            <rFont val="Calibri"/>
            <family val="2"/>
          </rPr>
          <t>Felipe:
para capuchino o cortado 40ml</t>
        </r>
      </text>
    </comment>
    <comment ref="H90" authorId="1" shapeId="0" xr:uid="{00000000-0006-0000-0200-00000B000000}">
      <text>
        <r>
          <rPr>
            <sz val="11"/>
            <color rgb="FF000000"/>
            <rFont val="Calibri"/>
            <family val="2"/>
          </rPr>
          <t>Felipe:
para capuchino o cortado 40ml</t>
        </r>
      </text>
    </comment>
  </commentList>
</comments>
</file>

<file path=xl/sharedStrings.xml><?xml version="1.0" encoding="utf-8"?>
<sst xmlns="http://schemas.openxmlformats.org/spreadsheetml/2006/main" count="3373" uniqueCount="1431">
  <si>
    <t>PRODUCTO</t>
  </si>
  <si>
    <t>FORMATO</t>
  </si>
  <si>
    <t>COMENTARIO</t>
  </si>
  <si>
    <t>LUNES</t>
  </si>
  <si>
    <t>JUEVES</t>
  </si>
  <si>
    <t>MÍN</t>
  </si>
  <si>
    <t>MÁX</t>
  </si>
  <si>
    <t>PEDIDO</t>
  </si>
  <si>
    <t>RECIBIDO</t>
  </si>
  <si>
    <t>-</t>
  </si>
  <si>
    <t>consultar</t>
  </si>
  <si>
    <t>kilo</t>
  </si>
  <si>
    <t>(adornos) Naranja</t>
  </si>
  <si>
    <t>barra</t>
  </si>
  <si>
    <t>(adornos) Piña</t>
  </si>
  <si>
    <t>unidad</t>
  </si>
  <si>
    <t>mata</t>
  </si>
  <si>
    <t>colación</t>
  </si>
  <si>
    <t>Ají amarillo</t>
  </si>
  <si>
    <t>para salsas</t>
  </si>
  <si>
    <t>Ajo</t>
  </si>
  <si>
    <t>cabeza</t>
  </si>
  <si>
    <t>de a 6</t>
  </si>
  <si>
    <t>de a 2 o 3</t>
  </si>
  <si>
    <t>parcializado</t>
  </si>
  <si>
    <t>esporádico</t>
  </si>
  <si>
    <t>atado</t>
  </si>
  <si>
    <t>gramos</t>
  </si>
  <si>
    <t>Cebolla morada (tamaño mediano)</t>
  </si>
  <si>
    <t>saco 18k</t>
  </si>
  <si>
    <t>Cebolla blanca</t>
  </si>
  <si>
    <t>consult. sushi</t>
  </si>
  <si>
    <t>consult. cocina</t>
  </si>
  <si>
    <t>paq. 12u.</t>
  </si>
  <si>
    <t>pqte</t>
  </si>
  <si>
    <t>de a 2</t>
  </si>
  <si>
    <t>Diente de dragón</t>
  </si>
  <si>
    <t>Frutilla fresca o congelada</t>
  </si>
  <si>
    <t>Jengibre fresco</t>
  </si>
  <si>
    <t>cocina y colación</t>
  </si>
  <si>
    <t>Limón sutil</t>
  </si>
  <si>
    <t>Manzana verde</t>
  </si>
  <si>
    <t>saco 25k</t>
  </si>
  <si>
    <t>de a 1</t>
  </si>
  <si>
    <t>Salsa tari</t>
  </si>
  <si>
    <t>caja 12u.</t>
  </si>
  <si>
    <t>litro</t>
  </si>
  <si>
    <t xml:space="preserve">PESO </t>
  </si>
  <si>
    <t>LIMONES    -    CEBOLLA</t>
  </si>
  <si>
    <r>
      <t xml:space="preserve">AVÍCOLA UGALDE                            </t>
    </r>
    <r>
      <rPr>
        <sz val="12"/>
        <color rgb="FF000000"/>
        <rFont val="Calibri"/>
        <family val="2"/>
      </rPr>
      <t>(cheque al día)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</si>
  <si>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MI-JU</t>
    </r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</si>
  <si>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Wsp Gonza - Naty</t>
    </r>
  </si>
  <si>
    <t>Chocolate blanco</t>
  </si>
  <si>
    <t>Aceite Frito Mac (bidón 10L)</t>
  </si>
  <si>
    <t>paq 50gr.</t>
  </si>
  <si>
    <r>
      <t xml:space="preserve">Crema vegetal legy </t>
    </r>
    <r>
      <rPr>
        <b/>
        <u/>
        <sz val="12"/>
        <color rgb="FF000000"/>
        <rFont val="Calibri"/>
        <family val="2"/>
      </rPr>
      <t>SOLO ESTA MARCA</t>
    </r>
  </si>
  <si>
    <t>Gas licuado pequeño (para flambeador)</t>
  </si>
  <si>
    <t>caja</t>
  </si>
  <si>
    <t>Gelatina en polvo sin sabor</t>
  </si>
  <si>
    <t>bolsa 1K</t>
  </si>
  <si>
    <t xml:space="preserve">Arroz (Tucapel Gran Selección) </t>
  </si>
  <si>
    <t>paq. 200gr.</t>
  </si>
  <si>
    <t xml:space="preserve">Jamón serrano </t>
  </si>
  <si>
    <t>frasco</t>
  </si>
  <si>
    <t>Mantequilla de maní</t>
  </si>
  <si>
    <t>tarro</t>
  </si>
  <si>
    <t>Marraschino</t>
  </si>
  <si>
    <t>caja 8 tabletas</t>
  </si>
  <si>
    <t>Caldo maggi (sólo pollo)</t>
  </si>
  <si>
    <t>Caldo maggi (sólo vacuno)</t>
  </si>
  <si>
    <t>Caldo maggi (sólo verduras)</t>
  </si>
  <si>
    <t>bolsa</t>
  </si>
  <si>
    <t>COLAC.</t>
  </si>
  <si>
    <t>tripa 250gr</t>
  </si>
  <si>
    <t>Carne molida PF (o similar, la mejor)</t>
  </si>
  <si>
    <t>500gr.</t>
  </si>
  <si>
    <t>paquete</t>
  </si>
  <si>
    <t>Cif cloro gel</t>
  </si>
  <si>
    <t>Cloro normal clorinda (caja 6x2kg)</t>
  </si>
  <si>
    <t>Fideos udon</t>
  </si>
  <si>
    <t>Cocktail palmitos gosh (sólo pequeño)</t>
  </si>
  <si>
    <t>botella</t>
  </si>
  <si>
    <t>bolsa 200gr.</t>
  </si>
  <si>
    <t>Coco rallado</t>
  </si>
  <si>
    <t xml:space="preserve">Cong. arvejas </t>
  </si>
  <si>
    <t xml:space="preserve">Cong. choclo </t>
  </si>
  <si>
    <t>lata</t>
  </si>
  <si>
    <t>Aceite sésamo</t>
  </si>
  <si>
    <t>Cong. Poroto verde</t>
  </si>
  <si>
    <t>bolsa 0,4K</t>
  </si>
  <si>
    <t>Ajinomoto</t>
  </si>
  <si>
    <t xml:space="preserve">Cong. verduras mixtas </t>
  </si>
  <si>
    <t>Esterilla plana</t>
  </si>
  <si>
    <t>cajita 200cc</t>
  </si>
  <si>
    <t>Crema de leche (batir) soprole CHICA</t>
  </si>
  <si>
    <t>bolsa 30u</t>
  </si>
  <si>
    <t>360ml</t>
  </si>
  <si>
    <t>Desodorante ambiental poett varios</t>
  </si>
  <si>
    <t>300cc</t>
  </si>
  <si>
    <t xml:space="preserve">Endulzante stevia </t>
  </si>
  <si>
    <t>Gyosa pollo (caja 5 bolsas 30u.)</t>
  </si>
  <si>
    <t>paquete 400gr.</t>
  </si>
  <si>
    <t xml:space="preserve">Hondashi </t>
  </si>
  <si>
    <t>paquete x10</t>
  </si>
  <si>
    <t>Fósforos copihue (cajas pequeñas)</t>
  </si>
  <si>
    <t>paq. 100u.</t>
  </si>
  <si>
    <t>Harina sin polvos</t>
  </si>
  <si>
    <t>bandeja 30u.</t>
  </si>
  <si>
    <t>Huevos blancos</t>
  </si>
  <si>
    <t>caja 13,6k</t>
  </si>
  <si>
    <t>Salsa de ostras (sólo marca Panda)</t>
  </si>
  <si>
    <t>botella 1,8L</t>
  </si>
  <si>
    <t>Salsa tonkatsu</t>
  </si>
  <si>
    <t>Leche condensada (soprole)</t>
  </si>
  <si>
    <t>Leche evaporada (soprole)</t>
  </si>
  <si>
    <t>Sésamo negro</t>
  </si>
  <si>
    <t>caja 100u.</t>
  </si>
  <si>
    <t>Soya chica con logo</t>
  </si>
  <si>
    <t>balde 18.9L</t>
  </si>
  <si>
    <t>Soya kikkoman</t>
  </si>
  <si>
    <t>Legum. Lentejas</t>
  </si>
  <si>
    <t>botella 0,74L</t>
  </si>
  <si>
    <t>Srirasha</t>
  </si>
  <si>
    <t>Legum. Porotos</t>
  </si>
  <si>
    <t>Longanizas</t>
  </si>
  <si>
    <t>Lustra muebles VIRGINIA</t>
  </si>
  <si>
    <t>bolsa 0,3K</t>
  </si>
  <si>
    <t>Togarashi</t>
  </si>
  <si>
    <t>pan 250gr</t>
  </si>
  <si>
    <t>Mantequilla (soprole)</t>
  </si>
  <si>
    <t>bolsa 8u</t>
  </si>
  <si>
    <r>
      <t xml:space="preserve">IMPRENTA MELIPILLA                           </t>
    </r>
    <r>
      <rPr>
        <sz val="12"/>
        <color rgb="FF000000"/>
        <rFont val="Calibri"/>
        <family val="2"/>
      </rPr>
      <t>(cheque al día)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</si>
  <si>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fono +56228311797</t>
    </r>
  </si>
  <si>
    <t>Pan de molde (ideal) 580gr.</t>
  </si>
  <si>
    <t>talon. 50u.</t>
  </si>
  <si>
    <t>Boletas</t>
  </si>
  <si>
    <t>pote</t>
  </si>
  <si>
    <t>Queso fresco pequeño 160gr. Colun</t>
  </si>
  <si>
    <t>PRECIO</t>
  </si>
  <si>
    <t>BCO CHILE CTA CTE 16600064-07</t>
  </si>
  <si>
    <t>Salsa tomates (pomarola)</t>
  </si>
  <si>
    <t>caja 2.000u.</t>
  </si>
  <si>
    <t>Gas licuado</t>
  </si>
  <si>
    <t>bidon 5 L</t>
  </si>
  <si>
    <t>pieza 3.5k</t>
  </si>
  <si>
    <t>caja 10K</t>
  </si>
  <si>
    <t>caja 100 u.</t>
  </si>
  <si>
    <t>Pollo trutro (24u./caja)</t>
  </si>
  <si>
    <t>Pollo trutro ala (caja 10kilos)</t>
  </si>
  <si>
    <t>bidón 5L</t>
  </si>
  <si>
    <t>pack x6</t>
  </si>
  <si>
    <t>caja 7.500u.</t>
  </si>
  <si>
    <t>pack 2u.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</si>
  <si>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LUNES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MI-JU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</si>
  <si>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Gonza - Naty</t>
    </r>
  </si>
  <si>
    <t>caja 20k</t>
  </si>
  <si>
    <t>caja 5k</t>
  </si>
  <si>
    <t>Teléfono directo: 228201539</t>
  </si>
  <si>
    <t xml:space="preserve">Bolsa moneda 12 x 20cm </t>
  </si>
  <si>
    <t xml:space="preserve">Clip 30mm </t>
  </si>
  <si>
    <t>caja 5.000u.</t>
  </si>
  <si>
    <t>Elástico blanco</t>
  </si>
  <si>
    <t>11059NG</t>
  </si>
  <si>
    <t>Lápiz marcador perm. artel negro red.</t>
  </si>
  <si>
    <t>84056NG</t>
  </si>
  <si>
    <t>Lápiz plumón pizarra artel negro red.</t>
  </si>
  <si>
    <t>10001AZ</t>
  </si>
  <si>
    <t xml:space="preserve">Lápiz pasta cristal azul - BIC  </t>
  </si>
  <si>
    <t>rollo</t>
  </si>
  <si>
    <t>Papel fotoc. carta 75gr equalit</t>
  </si>
  <si>
    <t>resma 500u.</t>
  </si>
  <si>
    <t>paq. 10u.</t>
  </si>
  <si>
    <t>paq. 3u.</t>
  </si>
  <si>
    <t>Taco papel 9x9</t>
  </si>
  <si>
    <t>500 hojas</t>
  </si>
  <si>
    <t>Trapero absorbente 50X57cm - Clean</t>
  </si>
  <si>
    <r>
      <t xml:space="preserve">RAPANUI                          </t>
    </r>
    <r>
      <rPr>
        <sz val="12"/>
        <color rgb="FF000000"/>
        <rFont val="Calibri"/>
        <family val="2"/>
      </rPr>
      <t>(cheque a 30 días)</t>
    </r>
  </si>
  <si>
    <t>SOLO ENVIAR ESTOS X CORREO</t>
  </si>
  <si>
    <t>Consultas a Mónica +56225557945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</si>
  <si>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Lorena +56988829851</t>
    </r>
  </si>
  <si>
    <t>Calamar (anillos)</t>
  </si>
  <si>
    <t>Alusa foil ALUMINIO (30cm x 100m)</t>
  </si>
  <si>
    <t>EMERG.</t>
  </si>
  <si>
    <t>caja 1.000u.</t>
  </si>
  <si>
    <t>paq. 1.000u.</t>
  </si>
  <si>
    <t>Bolsa camiseta M. (40x50) paq. 100u.</t>
  </si>
  <si>
    <t>Frambuesa congelada IQF</t>
  </si>
  <si>
    <t>Frutilla entera IQF (oficial)</t>
  </si>
  <si>
    <t>bolsa 100u.</t>
  </si>
  <si>
    <t>Botella 40cc con tapa (emergencia)</t>
  </si>
  <si>
    <t>rollo 10m</t>
  </si>
  <si>
    <t>Papel mantequilla</t>
  </si>
  <si>
    <t>Espárragos congelados (oficial)</t>
  </si>
  <si>
    <t>Palitos brocheta 20cms</t>
  </si>
  <si>
    <t>paq. x 100u.</t>
  </si>
  <si>
    <t>caja 2.500u.</t>
  </si>
  <si>
    <r>
      <t xml:space="preserve">DEANDES PACK * </t>
    </r>
    <r>
      <rPr>
        <sz val="12"/>
        <color rgb="FF000000"/>
        <rFont val="Calibri"/>
        <family val="2"/>
      </rPr>
      <t xml:space="preserve">                         (cheque a 30 días)</t>
    </r>
  </si>
  <si>
    <t>caja 600u.</t>
  </si>
  <si>
    <t>caja 500u.</t>
  </si>
  <si>
    <t>caja 400u.</t>
  </si>
  <si>
    <r>
      <rPr>
        <b/>
        <sz val="12"/>
        <color rgb="FF000000"/>
        <rFont val="Calibri"/>
        <family val="2"/>
      </rPr>
      <t>WEB</t>
    </r>
    <r>
      <rPr>
        <sz val="12"/>
        <color rgb="FF000000"/>
        <rFont val="Calibri"/>
        <family val="2"/>
      </rPr>
      <t>: www.lo-go.cl (dudas Fabio +56940453982)</t>
    </r>
  </si>
  <si>
    <r>
      <t xml:space="preserve">Tapas Bandeja </t>
    </r>
    <r>
      <rPr>
        <b/>
        <u/>
        <sz val="12"/>
        <color rgb="FF000000"/>
        <rFont val="Calibri"/>
        <family val="2"/>
      </rPr>
      <t>C10 LX</t>
    </r>
    <r>
      <rPr>
        <sz val="12"/>
        <color rgb="FF000000"/>
        <rFont val="Calibri"/>
        <family val="2"/>
      </rPr>
      <t xml:space="preserve"> (aluminio)</t>
    </r>
  </si>
  <si>
    <r>
      <t xml:space="preserve">Bandeja </t>
    </r>
    <r>
      <rPr>
        <b/>
        <u/>
        <sz val="12"/>
        <color rgb="FF000000"/>
        <rFont val="Calibri"/>
        <family val="2"/>
      </rPr>
      <t>C20L</t>
    </r>
    <r>
      <rPr>
        <sz val="12"/>
        <color rgb="FF000000"/>
        <rFont val="Calibri"/>
        <family val="2"/>
      </rPr>
      <t xml:space="preserve"> (aluminio) - 2 rolls</t>
    </r>
  </si>
  <si>
    <t>paq. 600u.</t>
  </si>
  <si>
    <t xml:space="preserve">Vasito 2oz translúc. (50paq. de 50u.) </t>
  </si>
  <si>
    <t>Tapitas 2oz (50paq. de 50u.) oficial</t>
  </si>
  <si>
    <t>Campari</t>
  </si>
  <si>
    <t xml:space="preserve">pack x2 </t>
  </si>
  <si>
    <t>Benedictino (bidón 6L) (para café)</t>
  </si>
  <si>
    <t>Chambord</t>
  </si>
  <si>
    <t>pack x12</t>
  </si>
  <si>
    <t>Benedictino 500cc sin gas</t>
  </si>
  <si>
    <t>Benedictino 500cc con gas</t>
  </si>
  <si>
    <t>Crema de coco</t>
  </si>
  <si>
    <t>0,7 L</t>
  </si>
  <si>
    <t>Licor de café (Kalhua)</t>
  </si>
  <si>
    <t>Ramazzoti</t>
  </si>
  <si>
    <t>Tabasco</t>
  </si>
  <si>
    <t>Vital 1,6 L c/gas</t>
  </si>
  <si>
    <t>coca cola 1,5 L</t>
  </si>
  <si>
    <t>coca zero 1,5 L</t>
  </si>
  <si>
    <t>Amargo angostura</t>
  </si>
  <si>
    <t>fanta 1,5 L</t>
  </si>
  <si>
    <t>Aperol spritz</t>
  </si>
  <si>
    <t>sprite 1,5 L</t>
  </si>
  <si>
    <t>sprite zero 1,5 L</t>
  </si>
  <si>
    <t>Champaña brut Valdivieso</t>
  </si>
  <si>
    <t>nec. Durazno 1,5L</t>
  </si>
  <si>
    <t>Gin Tanqueray</t>
  </si>
  <si>
    <t>botella 0,9 L</t>
  </si>
  <si>
    <t>Granadina</t>
  </si>
  <si>
    <r>
      <t xml:space="preserve">CCU                                                 </t>
    </r>
    <r>
      <rPr>
        <sz val="12"/>
        <color rgb="FF000000"/>
        <rFont val="Calibri"/>
        <family val="2"/>
      </rPr>
      <t>(cheque a 7 días)</t>
    </r>
  </si>
  <si>
    <t>Licor Baileys</t>
  </si>
  <si>
    <t>0,75 L</t>
  </si>
  <si>
    <t>Martini blanco (para aliño arroz)</t>
  </si>
  <si>
    <t>CO2</t>
  </si>
  <si>
    <t>Martini rojo</t>
  </si>
  <si>
    <t>Pisco Alto del Carmen 35°</t>
  </si>
  <si>
    <t>Pisco Mistral 35°</t>
  </si>
  <si>
    <t>Pisco Mistral 40°</t>
  </si>
  <si>
    <t>caja x6</t>
  </si>
  <si>
    <t>Triple Sec Mitjans</t>
  </si>
  <si>
    <t>Vasos rectos (para plaqueta queso)</t>
  </si>
  <si>
    <t>Whisky Jack Daniel's</t>
  </si>
  <si>
    <t>Syrup chocolate</t>
  </si>
  <si>
    <t>Syrup vainilla</t>
  </si>
  <si>
    <t>Vino blanco (caja 6x2L)</t>
  </si>
  <si>
    <t>caja 10k</t>
  </si>
  <si>
    <t>Kunst. Torobayo Schop</t>
  </si>
  <si>
    <t>Heineken Schop</t>
  </si>
  <si>
    <t>(X CORREO STARKEN)</t>
  </si>
  <si>
    <t>cápsula nespresso - espresso forte (verde)</t>
  </si>
  <si>
    <t>cápsula nespresso - espresso decaf. (rojo)</t>
  </si>
  <si>
    <r>
      <t xml:space="preserve">OTROS  SUPERMERCADO                                        </t>
    </r>
    <r>
      <rPr>
        <sz val="12"/>
        <color rgb="FF000000"/>
        <rFont val="Calibri"/>
        <family val="2"/>
      </rPr>
      <t>(tarjeta)</t>
    </r>
  </si>
  <si>
    <t>PRISA S.A. 96.556.940-5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</si>
  <si>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 xml:space="preserve">: correo a Mónica mmiranda@rapa-nui.cl </t>
    </r>
  </si>
  <si>
    <t>Comandas Mesas Garzón (x4)</t>
  </si>
  <si>
    <t>Comandas Consumo Personal (x2)</t>
  </si>
  <si>
    <t>Comandas Delivery (x2)</t>
  </si>
  <si>
    <t>Hielo cristal</t>
  </si>
  <si>
    <t>LUNES AM</t>
  </si>
  <si>
    <t>Camarón ec. 36/40 crudo c/cáscara</t>
  </si>
  <si>
    <t>sachet 400gr</t>
  </si>
  <si>
    <t>Ketchup (hellman's u otro)</t>
  </si>
  <si>
    <t>Mostaza (hellman's u otro)</t>
  </si>
  <si>
    <t>Glucosa</t>
  </si>
  <si>
    <t>Jurel tipo salmón San José o similar</t>
  </si>
  <si>
    <t>tarro 425gr</t>
  </si>
  <si>
    <t>2 Balones de 452 litros c/u. Total ambos balones = 904 litros</t>
  </si>
  <si>
    <t>Cada 10% = 45 litros x balón (Calcular para llegar al 80%)</t>
  </si>
  <si>
    <t>Mín 20% - máx 80% de llenado (1 kg equivale a 2 litros aprox.)</t>
  </si>
  <si>
    <t>caja x12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</si>
  <si>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26939000 - 800209000 opción 3</t>
    </r>
  </si>
  <si>
    <t>CÓDIGO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</si>
  <si>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bimensual -</t>
    </r>
    <r>
      <rPr>
        <b/>
        <sz val="12"/>
        <color rgb="FF000000"/>
        <rFont val="Calibri"/>
        <family val="2"/>
      </rPr>
      <t xml:space="preserve"> RETIRO</t>
    </r>
    <r>
      <rPr>
        <sz val="12"/>
        <color rgb="FF000000"/>
        <rFont val="Calibri"/>
        <family val="2"/>
      </rPr>
      <t>: 3D APX.</t>
    </r>
  </si>
  <si>
    <r>
      <t>COCA-COLA</t>
    </r>
    <r>
      <rPr>
        <sz val="12"/>
        <color rgb="FF000000"/>
        <rFont val="Calibri"/>
        <family val="2"/>
      </rPr>
      <t xml:space="preserve">                                        (cheque a 15 días)</t>
    </r>
  </si>
  <si>
    <t>paq. x250u.</t>
  </si>
  <si>
    <t>ENVÍO PEDIDO VIERNES</t>
  </si>
  <si>
    <t>* PRODUCTOS EN ROJO... SON ALTERNAT. (PEDIR SÓLO SI PROVEEDOR OFICIAL NO TIENE)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</si>
  <si>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LU-MA-MI-JU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MA-MI-JU-VI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</si>
  <si>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 LU 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MA - MI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</si>
  <si>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(QUINCENAL)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 xml:space="preserve">: MI </t>
    </r>
  </si>
  <si>
    <t>caja 300u.</t>
  </si>
  <si>
    <t>Bowl Kraft 1.300cc (para alitas)</t>
  </si>
  <si>
    <t xml:space="preserve">Tapa Bowl Kraft 1.300cc </t>
  </si>
  <si>
    <t>Bandeja 243 D PET - 2 rolls</t>
  </si>
  <si>
    <t>Bowl Kraft 1.000 cc (para gohan y fideos)</t>
  </si>
  <si>
    <t>Tapa Bowl Kraft 1.000 cc</t>
  </si>
  <si>
    <t>caja 360u.</t>
  </si>
  <si>
    <t>Pote Kraft 20oz (600cc) (para ceviches)</t>
  </si>
  <si>
    <t>Tapa Pote Kraft plástica 115mm</t>
  </si>
  <si>
    <t>Bandeja 247 D PET - 3 rolls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</si>
  <si>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 (CADA 2 SEMANAS)</t>
    </r>
  </si>
  <si>
    <t>cajas 13,6k</t>
  </si>
  <si>
    <r>
      <t xml:space="preserve">GAS ABASTIBLE                                              </t>
    </r>
    <r>
      <rPr>
        <sz val="12"/>
        <color rgb="FF000000"/>
        <rFont val="Calibri"/>
        <family val="2"/>
      </rPr>
      <t>(cheque al día)</t>
    </r>
  </si>
  <si>
    <t>Papa Camote (amarilla, sino morada)</t>
  </si>
  <si>
    <r>
      <t xml:space="preserve">TRANSBANK                                 </t>
    </r>
    <r>
      <rPr>
        <sz val="12"/>
        <color rgb="FF000000"/>
        <rFont val="Calibri"/>
        <family val="2"/>
      </rPr>
      <t xml:space="preserve">   (tarjeta por internet)</t>
    </r>
  </si>
  <si>
    <t>rollos para máquina</t>
  </si>
  <si>
    <r>
      <rPr>
        <b/>
        <sz val="12"/>
        <color rgb="FF000000"/>
        <rFont val="Calibri"/>
        <family val="2"/>
      </rPr>
      <t>WEB</t>
    </r>
    <r>
      <rPr>
        <sz val="12"/>
        <color rgb="FF000000"/>
        <rFont val="Calibri"/>
        <family val="2"/>
      </rPr>
      <t>: www.transbank.cl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</si>
  <si>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en 2-3 días aprox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</si>
  <si>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retirar?</t>
    </r>
  </si>
  <si>
    <t>PEDIDO : +56951984415</t>
  </si>
  <si>
    <t>Azúcar flor Iansa (bolsa 1/2K) - postres</t>
  </si>
  <si>
    <t>Jengibre rosado</t>
  </si>
  <si>
    <t>pqte. 100u.</t>
  </si>
  <si>
    <t>Palitos brocheta 30cms (plaq. camarón)</t>
  </si>
  <si>
    <r>
      <t xml:space="preserve">INAPLAST                           </t>
    </r>
    <r>
      <rPr>
        <sz val="12"/>
        <color rgb="FF000000"/>
        <rFont val="Calibri"/>
        <family val="2"/>
      </rPr>
      <t xml:space="preserve">   (tarjeta por internet?)</t>
    </r>
  </si>
  <si>
    <t>aovando@inaplast.cl</t>
  </si>
  <si>
    <t>PEDIDO : Alejandra Ovando 228541254</t>
  </si>
  <si>
    <t>Otro: +56977083167</t>
  </si>
  <si>
    <t>200gr</t>
  </si>
  <si>
    <r>
      <t xml:space="preserve">Masago </t>
    </r>
    <r>
      <rPr>
        <sz val="12"/>
        <color rgb="FF000000"/>
        <rFont val="Calibri"/>
        <family val="2"/>
      </rPr>
      <t>(verif. Stock Porcionado)</t>
    </r>
  </si>
  <si>
    <t>Pollo pichanga (para salsa teriyaki) consultar</t>
  </si>
  <si>
    <t>Atún lomo (pedir de 10k)</t>
  </si>
  <si>
    <t>Vasito 2 onzas</t>
  </si>
  <si>
    <t>Tapas vasito 2 onzas</t>
  </si>
  <si>
    <t>cajas 10k</t>
  </si>
  <si>
    <t>Bolsa papel kraft 27x16cm</t>
  </si>
  <si>
    <t>caja 250u.</t>
  </si>
  <si>
    <t>Salmón pieza con piel</t>
  </si>
  <si>
    <t>Salmón ahumado laminado (500gr)</t>
  </si>
  <si>
    <t>Mango fresco (listos para consumo)</t>
  </si>
  <si>
    <t>caja x300u.</t>
  </si>
  <si>
    <t xml:space="preserve">Tapa bowl 500cc - 750cc - 1.000cc </t>
  </si>
  <si>
    <t xml:space="preserve">Tapa bowl 1.200cc </t>
  </si>
  <si>
    <t>SEMANA</t>
  </si>
  <si>
    <t>/</t>
  </si>
  <si>
    <t>COLACIÓN - SEMANA:</t>
  </si>
  <si>
    <t>rollo 4.5 kilos</t>
  </si>
  <si>
    <t xml:space="preserve">Bolsa prepicada 20x30cm </t>
  </si>
  <si>
    <t>pedir de a 12</t>
  </si>
  <si>
    <t>Bowl kraft - L - 1.000cc (gohan y fideos)</t>
  </si>
  <si>
    <t>Bowl kraft - XL - 1.200cc (alitas)</t>
  </si>
  <si>
    <r>
      <t xml:space="preserve">SEA GARDEN                      </t>
    </r>
    <r>
      <rPr>
        <sz val="12"/>
        <color rgb="FF000000"/>
        <rFont val="Calibri"/>
        <family val="2"/>
      </rPr>
      <t xml:space="preserve">                  (transf. máx. jueves am)</t>
    </r>
  </si>
  <si>
    <t>Botella 60cc (emergencias)</t>
  </si>
  <si>
    <t>para tostado</t>
  </si>
  <si>
    <t>bolsa 1 KILO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</si>
  <si>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JU (MÍNIMO 60 KILOS)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</si>
  <si>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(ANTES 14:00hrs.) 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JU</t>
    </r>
    <r>
      <rPr>
        <b/>
        <sz val="12"/>
        <color rgb="FF000000"/>
        <rFont val="Calibri"/>
        <family val="2"/>
      </rPr>
      <t xml:space="preserve"> 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</si>
  <si>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MARTES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</si>
  <si>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VI (</t>
    </r>
    <r>
      <rPr>
        <b/>
        <u/>
        <sz val="12"/>
        <color rgb="FF000000"/>
        <rFont val="Calibri"/>
        <family val="2"/>
      </rPr>
      <t>ESPORÁDICO</t>
    </r>
    <r>
      <rPr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</si>
  <si>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 xml:space="preserve">: MI-JU </t>
    </r>
    <r>
      <rPr>
        <b/>
        <sz val="12"/>
        <color rgb="FF000000"/>
        <rFont val="Calibri"/>
        <family val="2"/>
      </rPr>
      <t>(PEDIR ANT. 14:00)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</si>
  <si>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</si>
  <si>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r>
      <rPr>
        <b/>
        <sz val="12"/>
        <color rgb="FF000000"/>
        <rFont val="Calibri"/>
        <family val="2"/>
      </rPr>
      <t xml:space="preserve">PEDIR: </t>
    </r>
    <r>
      <rPr>
        <sz val="12"/>
        <color rgb="FF000000"/>
        <rFont val="Calibri"/>
        <family val="2"/>
      </rPr>
      <t>MA (C/2 SEMANAS APROX AGUJAS EN 40%)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</si>
  <si>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MARTES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MI-JU (ACORDAR)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</si>
  <si>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10 DÍAS HÁBILES</t>
    </r>
  </si>
  <si>
    <r>
      <t>MINUTO VERDE</t>
    </r>
    <r>
      <rPr>
        <sz val="12"/>
        <color rgb="FF000000"/>
        <rFont val="Calibri"/>
        <family val="2"/>
      </rPr>
      <t xml:space="preserve">                      (transferencia)</t>
    </r>
  </si>
  <si>
    <r>
      <t xml:space="preserve">Pulpa </t>
    </r>
    <r>
      <rPr>
        <b/>
        <sz val="12"/>
        <color rgb="FF000000"/>
        <rFont val="Calibri"/>
        <family val="2"/>
      </rPr>
      <t>maracuyá c/pepa</t>
    </r>
    <r>
      <rPr>
        <sz val="12"/>
        <color rgb="FF000000"/>
        <rFont val="Calibri"/>
        <family val="2"/>
      </rPr>
      <t xml:space="preserve"> para salsa (bolsa </t>
    </r>
    <r>
      <rPr>
        <b/>
        <sz val="12"/>
        <color rgb="FF000000"/>
        <rFont val="Calibri"/>
        <family val="2"/>
      </rPr>
      <t>1K</t>
    </r>
    <r>
      <rPr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</si>
  <si>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coca cola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</si>
  <si>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coca cola sin azúcar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</si>
  <si>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fanta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</si>
  <si>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sprite</t>
    </r>
    <r>
      <rPr>
        <sz val="12"/>
        <color rgb="FF000000"/>
        <rFont val="Calibri"/>
        <family val="2"/>
      </rPr>
      <t xml:space="preserve"> (lata 350cc)</t>
    </r>
  </si>
  <si>
    <r>
      <rPr>
        <b/>
        <sz val="12"/>
        <color rgb="FF000000"/>
        <rFont val="Calibri"/>
        <family val="2"/>
      </rPr>
      <t>sprite sin azúcar</t>
    </r>
    <r>
      <rPr>
        <sz val="12"/>
        <color rgb="FF000000"/>
        <rFont val="Calibri"/>
        <family val="2"/>
      </rPr>
      <t xml:space="preserve"> (lata 350cc)</t>
    </r>
  </si>
  <si>
    <t>PEDIR CAMIÓN CHICO DE 11:00 a 15:00</t>
  </si>
  <si>
    <r>
      <t>nec. Manzana 1,5 L (</t>
    </r>
    <r>
      <rPr>
        <b/>
        <sz val="12"/>
        <color rgb="FF000000"/>
        <rFont val="Calibri"/>
        <family val="2"/>
      </rPr>
      <t>cocina</t>
    </r>
    <r>
      <rPr>
        <sz val="12"/>
        <color rgb="FF000000"/>
        <rFont val="Calibri"/>
        <family val="2"/>
      </rPr>
      <t>)</t>
    </r>
  </si>
  <si>
    <r>
      <t>nec. Naranja 1,5L (</t>
    </r>
    <r>
      <rPr>
        <b/>
        <sz val="12"/>
        <color rgb="FF000000"/>
        <rFont val="Calibri"/>
        <family val="2"/>
      </rPr>
      <t>barra</t>
    </r>
    <r>
      <rPr>
        <sz val="12"/>
        <color rgb="FF000000"/>
        <rFont val="Calibri"/>
        <family val="2"/>
      </rPr>
      <t>)</t>
    </r>
  </si>
  <si>
    <r>
      <t>nec. Piña 1,5L (</t>
    </r>
    <r>
      <rPr>
        <b/>
        <sz val="12"/>
        <color rgb="FF000000"/>
        <rFont val="Calibri"/>
        <family val="2"/>
      </rPr>
      <t>barra</t>
    </r>
    <r>
      <rPr>
        <sz val="12"/>
        <color rgb="FF000000"/>
        <rFont val="Calibri"/>
        <family val="2"/>
      </rPr>
      <t>)</t>
    </r>
  </si>
  <si>
    <r>
      <rPr>
        <b/>
        <sz val="12"/>
        <color rgb="FF000000"/>
        <rFont val="Calibri"/>
        <family val="2"/>
      </rPr>
      <t>CÓDIGO CLIENTE:</t>
    </r>
    <r>
      <rPr>
        <sz val="12"/>
        <color rgb="FF000000"/>
        <rFont val="Calibri"/>
        <family val="2"/>
      </rPr>
      <t xml:space="preserve"> 500304077</t>
    </r>
  </si>
  <si>
    <t>botella 500ml</t>
  </si>
  <si>
    <t>Aceite de sésamo</t>
  </si>
  <si>
    <t>Camarón ecuat. 36/40 crudo con piel premium</t>
  </si>
  <si>
    <t>Bolsa camiseta GR. (50x60) paq. 100u. BLANCA</t>
  </si>
  <si>
    <t>Toalla mano Elite una hoja 250m.</t>
  </si>
  <si>
    <t>Alusa 30cm x 300m</t>
  </si>
  <si>
    <t>cajas x6u.</t>
  </si>
  <si>
    <t>bolsa 50gr.</t>
  </si>
  <si>
    <t>Chocolate chispas decoración</t>
  </si>
  <si>
    <t>Sriracha</t>
  </si>
  <si>
    <r>
      <t xml:space="preserve">DPS                                  </t>
    </r>
    <r>
      <rPr>
        <sz val="12"/>
        <color rgb="FF000000"/>
        <rFont val="Calibri"/>
        <family val="2"/>
      </rPr>
      <t xml:space="preserve">   (tarjeta por internet)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</si>
  <si>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VI </t>
    </r>
    <r>
      <rPr>
        <b/>
        <sz val="12"/>
        <color rgb="FF000000"/>
        <rFont val="Calibri"/>
        <family val="2"/>
      </rPr>
      <t>LLEGA</t>
    </r>
    <r>
      <rPr>
        <sz val="12"/>
        <color rgb="FF000000"/>
        <rFont val="Calibri"/>
        <family val="2"/>
      </rPr>
      <t>: LU (MI-VI)</t>
    </r>
  </si>
  <si>
    <t>Luis González +56998416562</t>
  </si>
  <si>
    <r>
      <rPr>
        <b/>
        <sz val="12"/>
        <color rgb="FF000000"/>
        <rFont val="Calibri"/>
        <family val="2"/>
      </rPr>
      <t xml:space="preserve">PEDIDO: </t>
    </r>
    <r>
      <rPr>
        <sz val="12"/>
        <color rgb="FF000000"/>
        <rFont val="Calibri"/>
        <family val="2"/>
      </rPr>
      <t>HASTA LAS 15:00 DOS DÍAS ANTES</t>
    </r>
  </si>
  <si>
    <t>Bolsa camiseta blanca 50x60 (dps)</t>
  </si>
  <si>
    <t>x 1.000</t>
  </si>
  <si>
    <t>Bombilla papel negra</t>
  </si>
  <si>
    <t>25 x 200</t>
  </si>
  <si>
    <t>6 x 50</t>
  </si>
  <si>
    <t>Bowl kraft 1.000 cc NP V.2</t>
  </si>
  <si>
    <t>Tapa Bowl kraft 500/750/1000cc</t>
  </si>
  <si>
    <t>Guante látex examglove Talla S</t>
  </si>
  <si>
    <t>Guante látex examglove Talla M</t>
  </si>
  <si>
    <t>Guante látex examglove Talla L</t>
  </si>
  <si>
    <t>x100</t>
  </si>
  <si>
    <t>pack x2</t>
  </si>
  <si>
    <t>Toalla Jumbo Promo (DPS) (190m?)</t>
  </si>
  <si>
    <t>Cif crema (o lysoform crema)</t>
  </si>
  <si>
    <t>botella 1L</t>
  </si>
  <si>
    <t>Pisco capel doble destilado</t>
  </si>
  <si>
    <t>Johnnie Walker rojo</t>
  </si>
  <si>
    <t xml:space="preserve">Salmón ahumado laminado </t>
  </si>
  <si>
    <t>Néctar manzana 1,5L</t>
  </si>
  <si>
    <t>caja 900u.</t>
  </si>
  <si>
    <t>Ron blanco Maddero 750cc</t>
  </si>
  <si>
    <t>Néctar naranja 1,5L</t>
  </si>
  <si>
    <t>paq 15gr.</t>
  </si>
  <si>
    <t xml:space="preserve">vital 600cc c/g </t>
  </si>
  <si>
    <t>vital 600cc s/g</t>
  </si>
  <si>
    <t>Cinta adhe. cristal 18x30m 3M. Scotch</t>
  </si>
  <si>
    <r>
      <t xml:space="preserve">ALO ALIMENTOS                                                          </t>
    </r>
    <r>
      <rPr>
        <sz val="12"/>
        <color rgb="FF000000"/>
        <rFont val="Calibri"/>
        <family val="2"/>
      </rPr>
      <t xml:space="preserve">   (cheque al día)</t>
    </r>
  </si>
  <si>
    <t>bolsas 1K</t>
  </si>
  <si>
    <t>$ oct-22</t>
  </si>
  <si>
    <t>botella 793gr.</t>
  </si>
  <si>
    <t>Hondashi</t>
  </si>
  <si>
    <t>Queso crema barra 1,36k SCHREIBER</t>
  </si>
  <si>
    <t>Marraschino Perelló</t>
  </si>
  <si>
    <t>frasco 250gr.</t>
  </si>
  <si>
    <t>Reineta (revisar precio)</t>
  </si>
  <si>
    <t>Rollo térmico blanco 80mm x 80mt (revisar $)</t>
  </si>
  <si>
    <t>Guantes látex descartables TALLA - L</t>
  </si>
  <si>
    <t>Guantes látex descartables TALLA - M</t>
  </si>
  <si>
    <t>Guantes látex descartables TALLA - S</t>
  </si>
  <si>
    <t>bidón 5 L</t>
  </si>
  <si>
    <t>Limones (cajas 15k)</t>
  </si>
  <si>
    <t>500grs.</t>
  </si>
  <si>
    <t>Pasta misu shiro</t>
  </si>
  <si>
    <t>lata 2.268 grs.</t>
  </si>
  <si>
    <t>paq. 20 u.</t>
  </si>
  <si>
    <t>Vienesas montina</t>
  </si>
  <si>
    <r>
      <t>Lavalozas sachet (Virginia)</t>
    </r>
    <r>
      <rPr>
        <b/>
        <u/>
        <sz val="12"/>
        <color rgb="FF000000"/>
        <rFont val="Calibri"/>
        <family val="2"/>
      </rPr>
      <t xml:space="preserve"> NO DE VINAGRE</t>
    </r>
  </si>
  <si>
    <t>Bolsas kraft 01 (27x16x29cms)</t>
  </si>
  <si>
    <t>caja 450u.</t>
  </si>
  <si>
    <t>Tilapia</t>
  </si>
  <si>
    <r>
      <rPr>
        <b/>
        <sz val="12"/>
        <color rgb="FF000000"/>
        <rFont val="Calibri"/>
        <family val="2"/>
      </rPr>
      <t>LLEGA</t>
    </r>
    <r>
      <rPr>
        <sz val="12"/>
        <color rgb="FF000000"/>
        <rFont val="Calibri"/>
        <family val="2"/>
      </rPr>
      <t>: EN GENERAL DE UN DÍA PARA OTRO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</si>
  <si>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LU a VI 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</si>
  <si>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Natalia +56933960148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</si>
  <si>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Mónica +56944227834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</si>
  <si>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Oriana +56994495169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</si>
  <si>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Mariluz  +56944362268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</si>
  <si>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Cristian Meneses +56947737496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</si>
  <si>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ó MA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</si>
  <si>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ó MA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 xml:space="preserve">: MI 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</si>
  <si>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VI 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LU 1PM</t>
    </r>
  </si>
  <si>
    <r>
      <t xml:space="preserve">MR. FOX                                  </t>
    </r>
    <r>
      <rPr>
        <sz val="12"/>
        <color rgb="FF000000"/>
        <rFont val="Calibri"/>
        <family val="2"/>
      </rPr>
      <t>(cheque al día)</t>
    </r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</si>
  <si>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>Wsp  +56977769638</t>
    </r>
  </si>
  <si>
    <t>Alcohol gel</t>
  </si>
  <si>
    <t xml:space="preserve">Amonio cuaternario </t>
  </si>
  <si>
    <t xml:space="preserve">Antisarro industrual </t>
  </si>
  <si>
    <t>Desengrasante Fox 3000</t>
  </si>
  <si>
    <t>Limpiapisos Fox Lavanda</t>
  </si>
  <si>
    <t xml:space="preserve">Jabón gel NEUTRO </t>
  </si>
  <si>
    <t xml:space="preserve">Limpia vidrios </t>
  </si>
  <si>
    <t>Toalla de mano rendipel 190m</t>
  </si>
  <si>
    <t>Papel higiénico  blanco rendipel 300m</t>
  </si>
  <si>
    <t>$ C/IVA</t>
  </si>
  <si>
    <t>CLIENTE 0011219548</t>
  </si>
  <si>
    <t>Panko blanco otosan 6mm</t>
  </si>
  <si>
    <t>NO, PRECIO</t>
  </si>
  <si>
    <t>C/IVA</t>
  </si>
  <si>
    <r>
      <t xml:space="preserve">Queso crema </t>
    </r>
    <r>
      <rPr>
        <b/>
        <u/>
        <sz val="12"/>
        <color rgb="FF000000"/>
        <rFont val="Calibri"/>
        <family val="2"/>
      </rPr>
      <t>(SOLO MARCA REAL)</t>
    </r>
  </si>
  <si>
    <t>pack x48u.</t>
  </si>
  <si>
    <t>Servilleta elite express (30paq./250u.)</t>
  </si>
  <si>
    <t>10K</t>
  </si>
  <si>
    <t>balde 19.8L</t>
  </si>
  <si>
    <t>Vinagre de vino blanco Traverso</t>
  </si>
  <si>
    <r>
      <t xml:space="preserve">Soya kikkoman </t>
    </r>
    <r>
      <rPr>
        <b/>
        <sz val="12"/>
        <color rgb="FF000000"/>
        <rFont val="Calibri"/>
        <family val="2"/>
      </rPr>
      <t>(confirmar precio)</t>
    </r>
  </si>
  <si>
    <r>
      <t>Panko mayamoto (blanco)</t>
    </r>
    <r>
      <rPr>
        <b/>
        <sz val="12"/>
        <color rgb="FF000000"/>
        <rFont val="Calibri"/>
        <family val="2"/>
      </rPr>
      <t xml:space="preserve"> (confirmar precio)</t>
    </r>
  </si>
  <si>
    <r>
      <t xml:space="preserve">Esponja lisa virutex pro </t>
    </r>
    <r>
      <rPr>
        <b/>
        <sz val="12"/>
        <color rgb="FF000000"/>
        <rFont val="Calibri"/>
        <family val="2"/>
      </rPr>
      <t>(amarilla con verde)</t>
    </r>
  </si>
  <si>
    <t>paq. x3u.</t>
  </si>
  <si>
    <t>Champaña Amaranta BRUT 750cc</t>
  </si>
  <si>
    <t xml:space="preserve">Cinta masking 18mm x 40m tesa (sushi) </t>
  </si>
  <si>
    <t>Gorro malla p/pelo (redecilla)</t>
  </si>
  <si>
    <t>Esponja acero grande virutex</t>
  </si>
  <si>
    <t>caja x 60u.</t>
  </si>
  <si>
    <t>Queso Crema California</t>
  </si>
  <si>
    <t>Syrup manzana</t>
  </si>
  <si>
    <r>
      <t xml:space="preserve">NESPRESSO (mín 300u.)                                  </t>
    </r>
    <r>
      <rPr>
        <sz val="12"/>
        <color rgb="FF000000"/>
        <rFont val="Calibri"/>
        <family val="2"/>
      </rPr>
      <t xml:space="preserve">   (tarjeta por internet)</t>
    </r>
  </si>
  <si>
    <r>
      <t xml:space="preserve">SUPERM. ASSIMARKET                                           </t>
    </r>
    <r>
      <rPr>
        <sz val="12"/>
        <color rgb="FF000000"/>
        <rFont val="Calibri"/>
        <family val="2"/>
      </rPr>
      <t>(débito)</t>
    </r>
  </si>
  <si>
    <r>
      <t xml:space="preserve">CARNES ÑUBLE                                                             </t>
    </r>
    <r>
      <rPr>
        <sz val="12"/>
        <color rgb="FF000000"/>
        <rFont val="Calibri"/>
        <family val="2"/>
      </rPr>
      <t>(cheque a 30 días)</t>
    </r>
  </si>
  <si>
    <t>$ jun-23</t>
  </si>
  <si>
    <t>3.650 c/u</t>
  </si>
  <si>
    <t>Harina tempura (mejor calidad)</t>
  </si>
  <si>
    <t>Alusa PLASTICO (28cm x 300m) caja x6u. (E)</t>
  </si>
  <si>
    <t>Jengibre (mejor calidad)</t>
  </si>
  <si>
    <t>Vodka Absolut pera</t>
  </si>
  <si>
    <t>caja 17k.</t>
  </si>
  <si>
    <t>Salmón Fresco trim E  -  (pedir a Stephany)</t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</si>
  <si>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correo Carmen cgarcia@gmail.com</t>
    </r>
  </si>
  <si>
    <r>
      <t xml:space="preserve">VANNI </t>
    </r>
    <r>
      <rPr>
        <sz val="12"/>
        <color rgb="FF000000"/>
        <rFont val="Calibri"/>
        <family val="2"/>
      </rPr>
      <t xml:space="preserve">                                                                                    (cheque a 30 días)</t>
    </r>
  </si>
  <si>
    <r>
      <t>AGROSUPER</t>
    </r>
    <r>
      <rPr>
        <sz val="12"/>
        <color rgb="FF000000"/>
        <rFont val="Calibri"/>
        <family val="2"/>
      </rPr>
      <t xml:space="preserve">                                                                                                                               (cheque a 15 días)</t>
    </r>
  </si>
  <si>
    <t>Pollo pechuga fresca deshuesada (revisar precio)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</si>
  <si>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Web o call center 600 600 60 61</t>
    </r>
  </si>
  <si>
    <r>
      <t>ARIZTÍA</t>
    </r>
    <r>
      <rPr>
        <sz val="12"/>
        <color rgb="FF000000"/>
        <rFont val="Calibri"/>
        <family val="2"/>
      </rPr>
      <t xml:space="preserve">                                                              (cheque a 6 días)</t>
    </r>
  </si>
  <si>
    <t>SAB - MIÉ</t>
  </si>
  <si>
    <r>
      <t xml:space="preserve">RESTOMARKET                                             </t>
    </r>
    <r>
      <rPr>
        <sz val="12"/>
        <color rgb="FF000000"/>
        <rFont val="Calibri"/>
        <family val="2"/>
      </rPr>
      <t>(cheque a 30 días)</t>
    </r>
  </si>
  <si>
    <t>Canela en polvo (postre)</t>
  </si>
  <si>
    <t>Vainilla esencia</t>
  </si>
  <si>
    <t>Maicena (postres)</t>
  </si>
  <si>
    <t>botella 500cc</t>
  </si>
  <si>
    <t>paq. 200gr</t>
  </si>
  <si>
    <t>Chuño (para el wantán)</t>
  </si>
  <si>
    <t>Vodka Absolut mango</t>
  </si>
  <si>
    <t>Desincrustante saca sarro Neo</t>
  </si>
  <si>
    <t>Paño abs. WYPALL x70 (750u.) - sushi y cocina</t>
  </si>
  <si>
    <t>Toalla papel 2x250m (40862) - Elite classic 1 hoja</t>
  </si>
  <si>
    <t>Toalla papel 2x250m (40861) - Elite ecol. 1 hoja</t>
  </si>
  <si>
    <t>Corchete 26/6 torre</t>
  </si>
  <si>
    <t>?</t>
  </si>
  <si>
    <t>bolsa 1/2k.</t>
  </si>
  <si>
    <t>Pepino ensalada</t>
  </si>
  <si>
    <t>caja 6u.</t>
  </si>
  <si>
    <t>Alusa Paletizar (20micras x 50cm) - porcionado pulpas</t>
  </si>
  <si>
    <t>1 kilo</t>
  </si>
  <si>
    <t>Wasabi (calidad)</t>
  </si>
  <si>
    <t>paquete 3u.</t>
  </si>
  <si>
    <t>pack 100u.</t>
  </si>
  <si>
    <t>Botellas PET+Tapas (caja gde. 1.000-1.200u apx.)</t>
  </si>
  <si>
    <t>Sésamo tostado</t>
  </si>
  <si>
    <t>Aceite maravilla chef (para máquina plaquetera)</t>
  </si>
  <si>
    <t>Pilas AAA Duracell</t>
  </si>
  <si>
    <t xml:space="preserve">Pilas AA Duracell </t>
  </si>
  <si>
    <t xml:space="preserve">Pilas D Duracell </t>
  </si>
  <si>
    <t>tira 12u.</t>
  </si>
  <si>
    <t>x2u.</t>
  </si>
  <si>
    <r>
      <t xml:space="preserve">Vasos </t>
    </r>
    <r>
      <rPr>
        <b/>
        <sz val="12"/>
        <color rgb="FF000000"/>
        <rFont val="Calibri"/>
        <family val="2"/>
      </rPr>
      <t>cortos london</t>
    </r>
    <r>
      <rPr>
        <sz val="12"/>
        <color rgb="FF000000"/>
        <rFont val="Calibri"/>
        <family val="2"/>
      </rPr>
      <t xml:space="preserve"> cristar (para bebidas)</t>
    </r>
  </si>
  <si>
    <r>
      <t xml:space="preserve">Vasos </t>
    </r>
    <r>
      <rPr>
        <b/>
        <sz val="12"/>
        <color rgb="FF000000"/>
        <rFont val="Calibri"/>
        <family val="2"/>
      </rPr>
      <t>rectos manhatan</t>
    </r>
    <r>
      <rPr>
        <sz val="12"/>
        <color rgb="FF000000"/>
        <rFont val="Calibri"/>
        <family val="2"/>
      </rPr>
      <t xml:space="preserve"> cristar (para mojito)</t>
    </r>
  </si>
  <si>
    <r>
      <t>Vasos</t>
    </r>
    <r>
      <rPr>
        <b/>
        <sz val="12"/>
        <color rgb="FF000000"/>
        <rFont val="Calibri"/>
        <family val="2"/>
      </rPr>
      <t xml:space="preserve"> largos london</t>
    </r>
    <r>
      <rPr>
        <sz val="12"/>
        <color rgb="FF000000"/>
        <rFont val="Calibri"/>
        <family val="2"/>
      </rPr>
      <t xml:space="preserve"> cristar (para jugos)</t>
    </r>
  </si>
  <si>
    <t>x 100u.</t>
  </si>
  <si>
    <r>
      <t xml:space="preserve">Guantes latex </t>
    </r>
    <r>
      <rPr>
        <b/>
        <sz val="12"/>
        <color rgb="FF000000"/>
        <rFont val="Calibri"/>
        <family val="2"/>
      </rPr>
      <t>talla S</t>
    </r>
    <r>
      <rPr>
        <sz val="12"/>
        <color rgb="FF000000"/>
        <rFont val="Calibri"/>
        <family val="2"/>
      </rPr>
      <t xml:space="preserve"> x100 s/polvo</t>
    </r>
  </si>
  <si>
    <r>
      <t xml:space="preserve">Guantes latex </t>
    </r>
    <r>
      <rPr>
        <b/>
        <sz val="12"/>
        <color rgb="FF000000"/>
        <rFont val="Calibri"/>
        <family val="2"/>
      </rPr>
      <t>talla M</t>
    </r>
    <r>
      <rPr>
        <sz val="12"/>
        <color rgb="FF000000"/>
        <rFont val="Calibri"/>
        <family val="2"/>
      </rPr>
      <t xml:space="preserve"> x100 s/polvo</t>
    </r>
  </si>
  <si>
    <r>
      <t xml:space="preserve">Guantes latex </t>
    </r>
    <r>
      <rPr>
        <b/>
        <sz val="12"/>
        <color rgb="FF000000"/>
        <rFont val="Calibri"/>
        <family val="2"/>
      </rPr>
      <t>talla L</t>
    </r>
    <r>
      <rPr>
        <sz val="12"/>
        <color rgb="FF000000"/>
        <rFont val="Calibri"/>
        <family val="2"/>
      </rPr>
      <t xml:space="preserve"> x100 s/polvo</t>
    </r>
  </si>
  <si>
    <t>99695AZ</t>
  </si>
  <si>
    <t>Carpeta Vinil Torre Oficio Fast Pigmentada Azul</t>
  </si>
  <si>
    <t>200gr aprox.</t>
  </si>
  <si>
    <t xml:space="preserve">Polvos de hornear </t>
  </si>
  <si>
    <r>
      <t xml:space="preserve">Galleta champaña </t>
    </r>
    <r>
      <rPr>
        <b/>
        <u/>
        <sz val="12"/>
        <color rgb="FF000000"/>
        <rFont val="Calibri"/>
        <family val="2"/>
      </rPr>
      <t>marca GULLÓN</t>
    </r>
  </si>
  <si>
    <r>
      <t>Leche natural (</t>
    </r>
    <r>
      <rPr>
        <b/>
        <u/>
        <sz val="12"/>
        <color rgb="FF000000"/>
        <rFont val="Calibri"/>
        <family val="2"/>
      </rPr>
      <t>solo Soprole</t>
    </r>
    <r>
      <rPr>
        <sz val="12"/>
        <color rgb="FF000000"/>
        <rFont val="Calibri"/>
        <family val="2"/>
      </rPr>
      <t>)</t>
    </r>
  </si>
  <si>
    <t>Zanahoria GRANDES</t>
  </si>
  <si>
    <t>Fideos cabellos de ángel</t>
  </si>
  <si>
    <r>
      <t xml:space="preserve">Fideos </t>
    </r>
    <r>
      <rPr>
        <b/>
        <sz val="12"/>
        <color rgb="FF000000"/>
        <rFont val="Calibri"/>
        <family val="2"/>
      </rPr>
      <t>spaguetti 5</t>
    </r>
    <r>
      <rPr>
        <sz val="12"/>
        <color rgb="FF000000"/>
        <rFont val="Calibri"/>
        <family val="2"/>
      </rPr>
      <t xml:space="preserve"> (luchetti)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</si>
  <si>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Alejandra +56976883897</t>
    </r>
  </si>
  <si>
    <t xml:space="preserve">Coco rallado </t>
  </si>
  <si>
    <t>bolsa 1 kilo</t>
  </si>
  <si>
    <r>
      <rPr>
        <b/>
        <sz val="12"/>
        <color rgb="FF000000"/>
        <rFont val="Calibri"/>
        <family val="2"/>
      </rPr>
      <t>PEDIDO 2:</t>
    </r>
    <r>
      <rPr>
        <sz val="12"/>
        <color rgb="FF000000"/>
        <rFont val="Calibri"/>
        <family val="2"/>
      </rPr>
      <t xml:space="preserve"> CALL CENTER +56223678013</t>
    </r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</si>
  <si>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Carlos Herrada +56968395456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</si>
  <si>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 (hasta 15:00) 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MI</t>
    </r>
  </si>
  <si>
    <t>Zapallo guarda</t>
  </si>
  <si>
    <t>Zapallo italiano</t>
  </si>
  <si>
    <t>Tortilla burrito -- GRANDE --  Sta. Rosa</t>
  </si>
  <si>
    <t>Tortilla burrito -- GRANDOTA -- Sta. Rosa</t>
  </si>
  <si>
    <t>Vinagre vino blanco (SOLO TRAVERSO)</t>
  </si>
  <si>
    <t>Queso gauda laminado calo 28 láminas</t>
  </si>
  <si>
    <t xml:space="preserve">sachet 467gr </t>
  </si>
  <si>
    <t>Corchetera Alicate Novus B-39 26/6 50 Hojas</t>
  </si>
  <si>
    <t>Teclado Kensington Negro Antiderrames Usb Ps2</t>
  </si>
  <si>
    <t>Sacacorchete Hand Palanca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</si>
  <si>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William +56946201919</t>
    </r>
  </si>
  <si>
    <t>Cuchara madera sopa 16cm</t>
  </si>
  <si>
    <t>Cuchara bio ecológica blanca sopa 16cm</t>
  </si>
  <si>
    <t>Queso gauda laminado calo 500gr</t>
  </si>
  <si>
    <t>NO, CALIDAD</t>
  </si>
  <si>
    <t>SÍ, CALIDAD</t>
  </si>
  <si>
    <t>Vinagre manzana verde (bidón 5L)</t>
  </si>
  <si>
    <t>Alcohol gel Winkler 5L</t>
  </si>
  <si>
    <t>Mopa Húmeda Virutex Pro XL 30 Cm</t>
  </si>
  <si>
    <t>Destacador Stabilo Boss Amarillo</t>
  </si>
  <si>
    <t>10377AM</t>
  </si>
  <si>
    <t>tarro 170gr.</t>
  </si>
  <si>
    <t>Café Nescafe polvo</t>
  </si>
  <si>
    <r>
      <t xml:space="preserve">Aceite vegetal </t>
    </r>
    <r>
      <rPr>
        <b/>
        <u/>
        <sz val="12"/>
        <color rgb="FF000000"/>
        <rFont val="Calibri"/>
        <family val="2"/>
      </rPr>
      <t>spray</t>
    </r>
  </si>
  <si>
    <t>Gorro red</t>
  </si>
  <si>
    <t>Pos-it nota adhesiva cubo 500hjs.</t>
  </si>
  <si>
    <t>Pulpa maracuyá con pepas (para postre)</t>
  </si>
  <si>
    <t>Paño abs. Maxwipe 60 Elite (890u.) - salón</t>
  </si>
  <si>
    <t>Caldo maggi (sólo costilla)</t>
  </si>
  <si>
    <t>Piña congelada IQF (para barra)</t>
  </si>
  <si>
    <t>Mango congelado IQF (para barra)</t>
  </si>
  <si>
    <t>Cacao amargo en polvo (para barra, helados)</t>
  </si>
  <si>
    <r>
      <t xml:space="preserve">Pulpa </t>
    </r>
    <r>
      <rPr>
        <b/>
        <sz val="12"/>
        <color rgb="FF000000"/>
        <rFont val="Calibri"/>
        <family val="2"/>
      </rPr>
      <t xml:space="preserve">piña </t>
    </r>
    <r>
      <rPr>
        <sz val="12"/>
        <color rgb="FF000000"/>
        <rFont val="Calibri"/>
        <family val="2"/>
      </rPr>
      <t xml:space="preserve">para jugo </t>
    </r>
  </si>
  <si>
    <r>
      <t>Pulpa</t>
    </r>
    <r>
      <rPr>
        <b/>
        <sz val="12"/>
        <color rgb="FF000000"/>
        <rFont val="Calibri"/>
        <family val="2"/>
      </rPr>
      <t xml:space="preserve"> chirimoya </t>
    </r>
    <r>
      <rPr>
        <sz val="12"/>
        <color rgb="FF000000"/>
        <rFont val="Calibri"/>
        <family val="2"/>
      </rPr>
      <t xml:space="preserve">para jugo </t>
    </r>
  </si>
  <si>
    <r>
      <t xml:space="preserve">Pulpa </t>
    </r>
    <r>
      <rPr>
        <b/>
        <sz val="12"/>
        <color rgb="FF000000"/>
        <rFont val="Calibri"/>
        <family val="2"/>
      </rPr>
      <t>frambuesa</t>
    </r>
    <r>
      <rPr>
        <sz val="12"/>
        <color rgb="FF000000"/>
        <rFont val="Calibri"/>
        <family val="2"/>
      </rPr>
      <t xml:space="preserve"> para jugo</t>
    </r>
  </si>
  <si>
    <r>
      <t xml:space="preserve">Pulpa </t>
    </r>
    <r>
      <rPr>
        <b/>
        <sz val="12"/>
        <color rgb="FF000000"/>
        <rFont val="Calibri"/>
        <family val="2"/>
      </rPr>
      <t>frutilla</t>
    </r>
    <r>
      <rPr>
        <sz val="12"/>
        <color rgb="FF000000"/>
        <rFont val="Calibri"/>
        <family val="2"/>
      </rPr>
      <t xml:space="preserve"> para jugo</t>
    </r>
  </si>
  <si>
    <r>
      <t xml:space="preserve">Pulpa </t>
    </r>
    <r>
      <rPr>
        <b/>
        <sz val="12"/>
        <color rgb="FF000000"/>
        <rFont val="Calibri"/>
        <family val="2"/>
      </rPr>
      <t>mango</t>
    </r>
    <r>
      <rPr>
        <sz val="12"/>
        <color rgb="FF000000"/>
        <rFont val="Calibri"/>
        <family val="2"/>
      </rPr>
      <t xml:space="preserve"> para jugo </t>
    </r>
  </si>
  <si>
    <r>
      <t xml:space="preserve">Pulpa </t>
    </r>
    <r>
      <rPr>
        <b/>
        <sz val="12"/>
        <color rgb="FF000000"/>
        <rFont val="Calibri"/>
        <family val="2"/>
      </rPr>
      <t>maracuyá</t>
    </r>
    <r>
      <rPr>
        <sz val="12"/>
        <color rgb="FF000000"/>
        <rFont val="Calibri"/>
        <family val="2"/>
      </rPr>
      <t xml:space="preserve"> para jugo</t>
    </r>
  </si>
  <si>
    <r>
      <t xml:space="preserve">Pulpa </t>
    </r>
    <r>
      <rPr>
        <b/>
        <sz val="12"/>
        <color rgb="FF000000"/>
        <rFont val="Calibri"/>
        <family val="2"/>
      </rPr>
      <t>melón</t>
    </r>
    <r>
      <rPr>
        <sz val="12"/>
        <color rgb="FF000000"/>
        <rFont val="Calibri"/>
        <family val="2"/>
      </rPr>
      <t xml:space="preserve"> para jugo</t>
    </r>
  </si>
  <si>
    <t>caja10k</t>
  </si>
  <si>
    <t>Austral Calafate</t>
  </si>
  <si>
    <t>Palo helado (de madera)</t>
  </si>
  <si>
    <t>Tenedor madera</t>
  </si>
  <si>
    <t>pqte x50u.</t>
  </si>
  <si>
    <t>Tequila Don Julio Reposado</t>
  </si>
  <si>
    <t>botella 750ml</t>
  </si>
  <si>
    <t>tarro 40ml</t>
  </si>
  <si>
    <t>Tequila José Cuervo dorado</t>
  </si>
  <si>
    <t>tarro 400ml</t>
  </si>
  <si>
    <t>caja 18K</t>
  </si>
  <si>
    <t>Kanikama premium 60% 9cms (para deshilachar)</t>
  </si>
  <si>
    <t>Pulpo del norte IQF 2up</t>
  </si>
  <si>
    <t>500grs</t>
  </si>
  <si>
    <t>Reineta nacional 10% glaseado (180-200gr) bolsa 5k</t>
  </si>
  <si>
    <t>Reineta importada 20% glaseado (100-200gr) bolsa 1k</t>
  </si>
  <si>
    <t>Pulpo entero 2up (PEDIR DE A 12 UNIDADES)</t>
  </si>
  <si>
    <t>Pulpo entero 1 - 2up (PEDIR DE A 15 UNIDADES)</t>
  </si>
  <si>
    <t>~ caja 10 kilos</t>
  </si>
  <si>
    <t>paquete 108gr</t>
  </si>
  <si>
    <t>Galleta oreo tradicional</t>
  </si>
  <si>
    <t>x 300u.</t>
  </si>
  <si>
    <t>x 400u.</t>
  </si>
  <si>
    <t>x 200u.</t>
  </si>
  <si>
    <t>Papel Antigrasa 43 x 31 cm - Natural</t>
  </si>
  <si>
    <t>Papel Antigrasa 28 x 34 cm - Rojo/blanco</t>
  </si>
  <si>
    <t>x 2000u.</t>
  </si>
  <si>
    <t>Pomelo (para macerado)</t>
  </si>
  <si>
    <t>Melón tuna PULPA (río alto)</t>
  </si>
  <si>
    <t>1 a 2</t>
  </si>
  <si>
    <t>Calamar anillos calibre 3-7</t>
  </si>
  <si>
    <t>Calamar anillos calibre 3-6</t>
  </si>
  <si>
    <t>BIDFOOD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</si>
  <si>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LU-VI; </t>
    </r>
    <r>
      <rPr>
        <b/>
        <sz val="12"/>
        <color rgb="FF000000"/>
        <rFont val="Calibri"/>
        <family val="2"/>
      </rPr>
      <t>LLEGA</t>
    </r>
    <r>
      <rPr>
        <sz val="12"/>
        <color rgb="FF000000"/>
        <rFont val="Calibri"/>
        <family val="2"/>
      </rPr>
      <t xml:space="preserve">: LU-VI </t>
    </r>
  </si>
  <si>
    <t>PEDIDO: Elian Medina +56983794691</t>
  </si>
  <si>
    <t>(cheque a 30 días)</t>
  </si>
  <si>
    <t>Churrasco Posta Negra (100u./caja)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</si>
  <si>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MA, VI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JU, LU</t>
    </r>
  </si>
  <si>
    <t>Papas pre fritas CRINKLE 10mm (bolsa 2.5k)</t>
  </si>
  <si>
    <t xml:space="preserve">Champiñones </t>
  </si>
  <si>
    <t xml:space="preserve">Esponja orotex  virutex </t>
  </si>
  <si>
    <t xml:space="preserve">Arándanos IQF </t>
  </si>
  <si>
    <t>Bombillas papel BICOLOR (paqs. 300u.)</t>
  </si>
  <si>
    <t>Bombillas papel BICOLOR flexibles d0.5cms (paqs. 100u.)</t>
  </si>
  <si>
    <t>Bombillas papel NEGRAS flexibles (paqs. 100u.)</t>
  </si>
  <si>
    <r>
      <t xml:space="preserve">Pulpa </t>
    </r>
    <r>
      <rPr>
        <b/>
        <sz val="12"/>
        <color rgb="FF000000"/>
        <rFont val="Calibri"/>
        <family val="2"/>
      </rPr>
      <t>piña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FOOD SERVICE - 10000421</t>
    </r>
  </si>
  <si>
    <t>caja 10x1 K</t>
  </si>
  <si>
    <r>
      <t>Pulpa</t>
    </r>
    <r>
      <rPr>
        <b/>
        <sz val="12"/>
        <color rgb="FF000000"/>
        <rFont val="Calibri"/>
        <family val="2"/>
      </rPr>
      <t xml:space="preserve"> chirimoya FOOD SERVICE - 10000413</t>
    </r>
  </si>
  <si>
    <t>Champiñón en tiras - FS 11000424</t>
  </si>
  <si>
    <r>
      <t xml:space="preserve">Pulpa </t>
    </r>
    <r>
      <rPr>
        <b/>
        <sz val="12"/>
        <color rgb="FF000000"/>
        <rFont val="Calibri"/>
        <family val="2"/>
      </rPr>
      <t xml:space="preserve">frambuesa 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FOOD SERVICE - 10000421</t>
    </r>
  </si>
  <si>
    <r>
      <t xml:space="preserve">Pulpa </t>
    </r>
    <r>
      <rPr>
        <b/>
        <sz val="12"/>
        <color rgb="FF000000"/>
        <rFont val="Calibri"/>
        <family val="2"/>
      </rPr>
      <t>frutilla FOOD SERVICE - 10000424</t>
    </r>
  </si>
  <si>
    <r>
      <t xml:space="preserve">Pulpa </t>
    </r>
    <r>
      <rPr>
        <b/>
        <sz val="12"/>
        <color rgb="FF000000"/>
        <rFont val="Calibri"/>
        <family val="2"/>
      </rPr>
      <t>mango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FOOD SERVICE - 11000396</t>
    </r>
  </si>
  <si>
    <r>
      <t xml:space="preserve">Pulpa </t>
    </r>
    <r>
      <rPr>
        <b/>
        <sz val="12"/>
        <color rgb="FF000000"/>
        <rFont val="Calibri"/>
        <family val="2"/>
      </rPr>
      <t>maracuyá FOOD SERVICE - 11000395</t>
    </r>
  </si>
  <si>
    <r>
      <t xml:space="preserve">Pulpa </t>
    </r>
    <r>
      <rPr>
        <b/>
        <sz val="12"/>
        <color rgb="FF000000"/>
        <rFont val="Calibri"/>
        <family val="2"/>
      </rPr>
      <t>melón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LA CABAÑA - 10002070</t>
    </r>
  </si>
  <si>
    <r>
      <t xml:space="preserve">Pulpa </t>
    </r>
    <r>
      <rPr>
        <b/>
        <sz val="12"/>
        <color rgb="FF000000"/>
        <rFont val="Calibri"/>
        <family val="2"/>
      </rPr>
      <t>arándanos FOOD SERVICE - 10001025</t>
    </r>
  </si>
  <si>
    <t>caja 16x1 K</t>
  </si>
  <si>
    <r>
      <t xml:space="preserve">Fruta entera </t>
    </r>
    <r>
      <rPr>
        <b/>
        <sz val="12"/>
        <color rgb="FF000000"/>
        <rFont val="Calibri"/>
        <family val="2"/>
      </rPr>
      <t>arándanos FS - 10001961</t>
    </r>
  </si>
  <si>
    <r>
      <t>QUIERO HIELO</t>
    </r>
    <r>
      <rPr>
        <sz val="12"/>
        <color rgb="FF000000"/>
        <rFont val="Calibri"/>
        <family val="2"/>
      </rPr>
      <t xml:space="preserve">                         (efectivo caja)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</si>
  <si>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Duilio +56964945128</t>
    </r>
  </si>
  <si>
    <t>Hielo frapé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</si>
  <si>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 xml:space="preserve">: MARTES ---- </t>
    </r>
    <r>
      <rPr>
        <b/>
        <sz val="12"/>
        <color rgb="FF000000"/>
        <rFont val="Calibri"/>
        <family val="2"/>
      </rPr>
      <t xml:space="preserve">LLEGA: </t>
    </r>
    <r>
      <rPr>
        <sz val="12"/>
        <color rgb="FF000000"/>
        <rFont val="Calibri"/>
        <family val="2"/>
      </rPr>
      <t>MA - MI</t>
    </r>
  </si>
  <si>
    <t>galón</t>
  </si>
  <si>
    <t>Mayonesa Kraft Real</t>
  </si>
  <si>
    <t>Amaretto Mitjans</t>
  </si>
  <si>
    <t>Cachaça 51</t>
  </si>
  <si>
    <r>
      <t xml:space="preserve">Chocolate cobertura </t>
    </r>
    <r>
      <rPr>
        <b/>
        <u/>
        <sz val="12"/>
        <color rgb="FF000000"/>
        <rFont val="Calibri"/>
        <family val="2"/>
      </rPr>
      <t xml:space="preserve">dark monedas </t>
    </r>
    <r>
      <rPr>
        <sz val="12"/>
        <color rgb="FF000000"/>
        <rFont val="Calibri"/>
        <family val="2"/>
      </rPr>
      <t>Caravella</t>
    </r>
  </si>
  <si>
    <t>COMPLETAR</t>
  </si>
  <si>
    <t>o a más tardar el día siguiente (según necesidad)</t>
  </si>
  <si>
    <t>Jamón Sándwich o Jamonada</t>
  </si>
  <si>
    <t xml:space="preserve">Jamón Sándwich o Jamonada </t>
  </si>
  <si>
    <t>6*</t>
  </si>
  <si>
    <t>* CONSULTAR A BARRA SI NECESITARÁ MÁS PARA OTRAS RECETAS</t>
  </si>
  <si>
    <t>COLACIÓN</t>
  </si>
  <si>
    <t>2* (ESTACIÓN, O RAPANUI)</t>
  </si>
  <si>
    <t>Jamón cocido (pollo o pavo)</t>
  </si>
  <si>
    <t>Corchetera Novus B4 Ecológica 26/6 A 24/8 40 Hojas Negra</t>
  </si>
  <si>
    <t>Virutilla FINA virutex</t>
  </si>
  <si>
    <t>Virutilla GRUESA metálica gris virutex</t>
  </si>
  <si>
    <t>Cerdo - Pulpa 57 (practicaja)</t>
  </si>
  <si>
    <t>caja 9k</t>
  </si>
  <si>
    <t>Aliño ramen pollo (caldo de pollo deshidratado oriental)</t>
  </si>
  <si>
    <r>
      <rPr>
        <b/>
        <sz val="12"/>
        <color rgb="FF000000"/>
        <rFont val="Calibri"/>
        <family val="2"/>
      </rPr>
      <t>PEDIDO:</t>
    </r>
    <r>
      <rPr>
        <sz val="12"/>
        <color rgb="FF000000"/>
        <rFont val="Calibri"/>
        <family val="2"/>
      </rPr>
      <t xml:space="preserve"> Restomarket.cl y wsp Stephany +56939114357</t>
    </r>
  </si>
  <si>
    <t>Kanikama largo (para rolls)</t>
  </si>
  <si>
    <t xml:space="preserve">Puchero ala (para salsa teri) </t>
  </si>
  <si>
    <t>Cerdo - Lomo centro sin filete (ramen tonkotsu)</t>
  </si>
  <si>
    <t>precio</t>
  </si>
  <si>
    <r>
      <rPr>
        <u/>
        <sz val="12"/>
        <color rgb="FF000000"/>
        <rFont val="Calibri"/>
        <family val="2"/>
      </rPr>
      <t>VASO</t>
    </r>
    <r>
      <rPr>
        <sz val="12"/>
        <color rgb="FF000000"/>
        <rFont val="Calibri"/>
        <family val="2"/>
      </rPr>
      <t xml:space="preserve"> + </t>
    </r>
    <r>
      <rPr>
        <u/>
        <sz val="12"/>
        <color rgb="FF000000"/>
        <rFont val="Calibri"/>
        <family val="2"/>
      </rPr>
      <t>TAPAS</t>
    </r>
    <r>
      <rPr>
        <sz val="12"/>
        <color rgb="FF000000"/>
        <rFont val="Calibri"/>
        <family val="2"/>
      </rPr>
      <t xml:space="preserve"> polipapel frío 350cc (jugos)</t>
    </r>
  </si>
  <si>
    <t>consultar Carito</t>
  </si>
  <si>
    <t>caja 30u.</t>
  </si>
  <si>
    <r>
      <t xml:space="preserve">Esponja amarilla </t>
    </r>
    <r>
      <rPr>
        <b/>
        <u/>
        <sz val="12"/>
        <color rgb="FF000000"/>
        <rFont val="Calibri"/>
        <family val="2"/>
      </rPr>
      <t>solo</t>
    </r>
    <r>
      <rPr>
        <sz val="12"/>
        <color rgb="FF000000"/>
        <rFont val="Calibri"/>
        <family val="2"/>
      </rPr>
      <t xml:space="preserve"> Clorox cuida uñas 3x10</t>
    </r>
  </si>
  <si>
    <t>botella 70ml</t>
  </si>
  <si>
    <t>botella 170ml</t>
  </si>
  <si>
    <t>Tijera Punto Rojo Mundial 662 7.5"</t>
  </si>
  <si>
    <t>Tijeras Dahle Titanium 7.0 - 18cms</t>
  </si>
  <si>
    <t>caja 200u.</t>
  </si>
  <si>
    <t>Bolsa papel kraft PAC PAC</t>
  </si>
  <si>
    <t>Nori Blue (para rolls NS)</t>
  </si>
  <si>
    <t>Caja Deliv. Cuadr. M - 1700ml - sandwichs - 14,4x14,5x8</t>
  </si>
  <si>
    <t>Caja Deliv. 1800AA  - 2900ml - papas - 24,4x14x11,5</t>
  </si>
  <si>
    <r>
      <t xml:space="preserve">Bandeja </t>
    </r>
    <r>
      <rPr>
        <b/>
        <u/>
        <sz val="12"/>
        <color rgb="FF000000"/>
        <rFont val="Calibri"/>
        <family val="2"/>
      </rPr>
      <t>C10 LX</t>
    </r>
    <r>
      <rPr>
        <sz val="12"/>
        <color rgb="FF000000"/>
        <rFont val="Calibri"/>
        <family val="2"/>
      </rPr>
      <t xml:space="preserve"> (aluminio) - 1 roll - 13,5x10x4,2</t>
    </r>
  </si>
  <si>
    <r>
      <t xml:space="preserve">Tapas Bandeja </t>
    </r>
    <r>
      <rPr>
        <b/>
        <u/>
        <sz val="12"/>
        <color rgb="FF000000"/>
        <rFont val="Calibri"/>
        <family val="2"/>
      </rPr>
      <t>C20L</t>
    </r>
    <r>
      <rPr>
        <sz val="12"/>
        <color rgb="FF000000"/>
        <rFont val="Calibri"/>
        <family val="2"/>
      </rPr>
      <t xml:space="preserve"> (aluminio) - 19x13x4</t>
    </r>
  </si>
  <si>
    <t>PDTE.</t>
  </si>
  <si>
    <t>caja 22K</t>
  </si>
  <si>
    <t xml:space="preserve">PRISA.CL </t>
  </si>
  <si>
    <t xml:space="preserve"> (cheque al día)         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</si>
  <si>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+56992817442</t>
    </r>
  </si>
  <si>
    <t>WATT'S</t>
  </si>
  <si>
    <t>PEDIR:LU-MI-VI ---- LLEGA: MA-JU-SA</t>
  </si>
  <si>
    <t>(cheque…)</t>
  </si>
  <si>
    <t>Danilo: +56991294359</t>
  </si>
  <si>
    <t>Guante Nitrilo Negro Talla M</t>
  </si>
  <si>
    <t>Guante Nitrilo Negro Talla L</t>
  </si>
  <si>
    <t>Filete vacío CAT V Paraguay</t>
  </si>
  <si>
    <t>Pulpo entero del norte nac. - calibre 2kg</t>
  </si>
  <si>
    <t>Aceite maravilla</t>
  </si>
  <si>
    <t>12x900cc</t>
  </si>
  <si>
    <t>Vinagre vino blanco Traverso</t>
  </si>
  <si>
    <t>Aceite oliva Santiago extra virgen</t>
  </si>
  <si>
    <t>Guante Látex Talla S</t>
  </si>
  <si>
    <t>Espárragos - minuto verde</t>
  </si>
  <si>
    <t>Salmón filete nac trim D IVP 3/4</t>
  </si>
  <si>
    <t xml:space="preserve">Glucosa </t>
  </si>
  <si>
    <t>50u.</t>
  </si>
  <si>
    <t>Jamón serrano - Torero</t>
  </si>
  <si>
    <t>Virutilla fina para olla - Virutex</t>
  </si>
  <si>
    <t>Esponja gruesa (acero galvanizado) - Manlac</t>
  </si>
  <si>
    <t>Servilletas elite express - MERCADOLIBRE (Albacomer)</t>
  </si>
  <si>
    <t>Aceite Fritomac</t>
  </si>
  <si>
    <t>10x1k</t>
  </si>
  <si>
    <t>Arroz G2 Ancho Largo para  Sushi - Tucapel</t>
  </si>
  <si>
    <t>Aceite belmont vegetal</t>
  </si>
  <si>
    <t>Aceite cristal vegetal</t>
  </si>
  <si>
    <t>12x1L</t>
  </si>
  <si>
    <t>12x900mL</t>
  </si>
  <si>
    <t>Palmitos wasil enteros</t>
  </si>
  <si>
    <t>24x400g</t>
  </si>
  <si>
    <t>Queso gauda calo laminado</t>
  </si>
  <si>
    <t>16x233g</t>
  </si>
  <si>
    <t>12x467g</t>
  </si>
  <si>
    <t>Salsa tomate wasil sachet</t>
  </si>
  <si>
    <t>24x180g</t>
  </si>
  <si>
    <t>Crema loncoleche batir</t>
  </si>
  <si>
    <t>Aceite Frito Master plus</t>
  </si>
  <si>
    <t>2x10L</t>
  </si>
  <si>
    <t xml:space="preserve">Papas pre fritas 7mm (4x2.5k) - FF </t>
  </si>
  <si>
    <t>caja 12,5k</t>
  </si>
  <si>
    <t>Papas pre fritas fina (7mm) (4x2.5k) 11000710</t>
  </si>
  <si>
    <t>caja 12.5K</t>
  </si>
  <si>
    <t>Papas pre fritas fina (7mm) (4x2.5k) 11000086</t>
  </si>
  <si>
    <t>MARTES</t>
  </si>
  <si>
    <t>MIÉRCOLES</t>
  </si>
  <si>
    <r>
      <t xml:space="preserve">ARTÍCULOS </t>
    </r>
    <r>
      <rPr>
        <b/>
        <u/>
        <sz val="26"/>
        <color rgb="FF000000"/>
        <rFont val="Calibri"/>
        <family val="2"/>
      </rPr>
      <t>PENDIENTES</t>
    </r>
    <r>
      <rPr>
        <b/>
        <sz val="26"/>
        <color rgb="FF000000"/>
        <rFont val="Calibri"/>
        <family val="2"/>
      </rPr>
      <t xml:space="preserve"> DEBEN SER </t>
    </r>
    <r>
      <rPr>
        <b/>
        <u/>
        <sz val="26"/>
        <color rgb="FF000000"/>
        <rFont val="Calibri"/>
        <family val="2"/>
      </rPr>
      <t>ENTREGADOS</t>
    </r>
    <r>
      <rPr>
        <b/>
        <sz val="26"/>
        <color rgb="FF000000"/>
        <rFont val="Calibri"/>
        <family val="2"/>
      </rPr>
      <t xml:space="preserve"> </t>
    </r>
    <r>
      <rPr>
        <b/>
        <u/>
        <sz val="26"/>
        <color rgb="FF000000"/>
        <rFont val="Calibri"/>
        <family val="2"/>
      </rPr>
      <t>DURANTE EL DÍA</t>
    </r>
  </si>
  <si>
    <t>RECEPCIÓN PEDIDOS ANTES 10:30</t>
  </si>
  <si>
    <r>
      <t>Albahaca paquete GRANDE (fresco)</t>
    </r>
    <r>
      <rPr>
        <b/>
        <i/>
        <sz val="24"/>
        <rFont val="Calibri"/>
        <family val="2"/>
      </rPr>
      <t xml:space="preserve"> </t>
    </r>
    <r>
      <rPr>
        <b/>
        <i/>
        <u/>
        <sz val="24"/>
        <rFont val="Calibri"/>
        <family val="2"/>
      </rPr>
      <t>LUNES</t>
    </r>
  </si>
  <si>
    <r>
      <t xml:space="preserve">Almendras </t>
    </r>
    <r>
      <rPr>
        <b/>
        <sz val="24"/>
        <rFont val="Calibri"/>
        <family val="2"/>
      </rPr>
      <t>(EN BOLSAS DE 1 KILO)</t>
    </r>
  </si>
  <si>
    <r>
      <t>Apio (</t>
    </r>
    <r>
      <rPr>
        <b/>
        <sz val="24"/>
        <rFont val="Calibri"/>
        <family val="2"/>
      </rPr>
      <t>grande, fresco</t>
    </r>
    <r>
      <rPr>
        <sz val="24"/>
        <rFont val="Calibri"/>
        <family val="2"/>
      </rPr>
      <t>)</t>
    </r>
  </si>
  <si>
    <r>
      <t xml:space="preserve">Betarraga </t>
    </r>
    <r>
      <rPr>
        <b/>
        <u/>
        <sz val="24"/>
        <rFont val="Calibri"/>
        <family val="2"/>
      </rPr>
      <t>GRANDE</t>
    </r>
  </si>
  <si>
    <r>
      <t xml:space="preserve">Cancha serrana </t>
    </r>
    <r>
      <rPr>
        <b/>
        <sz val="24"/>
        <rFont val="Calibri"/>
        <family val="2"/>
      </rPr>
      <t>(EN BOLSAS DE 1 KILO)</t>
    </r>
  </si>
  <si>
    <r>
      <t xml:space="preserve">Ciboulette (porte, fresco) </t>
    </r>
    <r>
      <rPr>
        <b/>
        <i/>
        <u/>
        <sz val="24"/>
        <rFont val="Calibri"/>
        <family val="2"/>
      </rPr>
      <t>(cocina y sushi)</t>
    </r>
  </si>
  <si>
    <r>
      <t xml:space="preserve">Coliflor </t>
    </r>
    <r>
      <rPr>
        <b/>
        <sz val="24"/>
        <rFont val="Calibri"/>
        <family val="2"/>
      </rPr>
      <t>GRANDE</t>
    </r>
    <r>
      <rPr>
        <sz val="24"/>
        <rFont val="Calibri"/>
        <family val="2"/>
      </rPr>
      <t xml:space="preserve"> o equivalente</t>
    </r>
  </si>
  <si>
    <r>
      <t xml:space="preserve">Brócoli </t>
    </r>
    <r>
      <rPr>
        <b/>
        <sz val="24"/>
        <rFont val="Calibri"/>
        <family val="2"/>
      </rPr>
      <t>GRANDE</t>
    </r>
    <r>
      <rPr>
        <sz val="24"/>
        <rFont val="Calibri"/>
        <family val="2"/>
      </rPr>
      <t xml:space="preserve"> o equivalente</t>
    </r>
  </si>
  <si>
    <r>
      <t xml:space="preserve">Manzana roja </t>
    </r>
    <r>
      <rPr>
        <b/>
        <u/>
        <sz val="24"/>
        <color rgb="FF000000"/>
        <rFont val="Calibri"/>
        <family val="2"/>
      </rPr>
      <t>pink lady</t>
    </r>
    <r>
      <rPr>
        <sz val="24"/>
        <color rgb="FF000000"/>
        <rFont val="Calibri"/>
        <family val="2"/>
      </rPr>
      <t xml:space="preserve"> (salsa katsu)</t>
    </r>
  </si>
  <si>
    <r>
      <t>Menta</t>
    </r>
    <r>
      <rPr>
        <b/>
        <sz val="24"/>
        <color rgb="FF000000"/>
        <rFont val="Calibri"/>
        <family val="2"/>
      </rPr>
      <t xml:space="preserve"> (fresca, hoja ancha)</t>
    </r>
  </si>
  <si>
    <r>
      <t>Papón (</t>
    </r>
    <r>
      <rPr>
        <b/>
        <sz val="24"/>
        <color rgb="FF000000"/>
        <rFont val="Calibri"/>
        <family val="2"/>
      </rPr>
      <t>sólo GRANDES</t>
    </r>
    <r>
      <rPr>
        <sz val="24"/>
        <color rgb="FF000000"/>
        <rFont val="Calibri"/>
        <family val="2"/>
      </rPr>
      <t>)</t>
    </r>
  </si>
  <si>
    <r>
      <t xml:space="preserve">Pimentón </t>
    </r>
    <r>
      <rPr>
        <b/>
        <u/>
        <sz val="24"/>
        <color rgb="FF000000"/>
        <rFont val="Calibri"/>
        <family val="2"/>
      </rPr>
      <t>VERDE</t>
    </r>
    <r>
      <rPr>
        <sz val="24"/>
        <color rgb="FF000000"/>
        <rFont val="Calibri"/>
        <family val="2"/>
      </rPr>
      <t xml:space="preserve"> JUMBO</t>
    </r>
  </si>
  <si>
    <r>
      <t>Tomate (</t>
    </r>
    <r>
      <rPr>
        <b/>
        <sz val="24"/>
        <color rgb="FF000000"/>
        <rFont val="Calibri"/>
        <family val="2"/>
      </rPr>
      <t>FIRMES</t>
    </r>
    <r>
      <rPr>
        <sz val="24"/>
        <color rgb="FF000000"/>
        <rFont val="Calibri"/>
        <family val="2"/>
      </rPr>
      <t>)</t>
    </r>
  </si>
  <si>
    <t>Papas pre fritas 7mm</t>
  </si>
  <si>
    <t>Ají amarillo peruano</t>
  </si>
  <si>
    <t>EMERGENCIA</t>
  </si>
  <si>
    <t>Corchetera Novus c3fc grapado plano 26/6 30 Hojas azul</t>
  </si>
  <si>
    <t>Cuchillo madera</t>
  </si>
  <si>
    <t>Lomo centro de cerdo</t>
  </si>
  <si>
    <t>bolsa 25u.</t>
  </si>
  <si>
    <t>Masa de wantán (pqte 500grs. 70 láminas apx.)</t>
  </si>
  <si>
    <t>caja 24u.</t>
  </si>
  <si>
    <t>Tapa pocillo 3.25 y 4 oz (para salsas platos)</t>
  </si>
  <si>
    <t>Pocillo 3.25oz (para salsas platos)</t>
  </si>
  <si>
    <t>bidón 10L</t>
  </si>
  <si>
    <t>Nori Gold (caja x45u.)</t>
  </si>
  <si>
    <r>
      <t>Pepsi zero</t>
    </r>
    <r>
      <rPr>
        <sz val="12"/>
        <color rgb="FF000000"/>
        <rFont val="Calibri"/>
        <family val="2"/>
      </rPr>
      <t xml:space="preserve"> (lata 350cc)</t>
    </r>
  </si>
  <si>
    <r>
      <t>Canada dry</t>
    </r>
    <r>
      <rPr>
        <sz val="12"/>
        <color rgb="FF000000"/>
        <rFont val="Calibri"/>
        <family val="2"/>
      </rPr>
      <t xml:space="preserve"> (lata 350cc)</t>
    </r>
  </si>
  <si>
    <r>
      <t>Limón soda</t>
    </r>
    <r>
      <rPr>
        <sz val="12"/>
        <color rgb="FF000000"/>
        <rFont val="Calibri"/>
        <family val="2"/>
      </rPr>
      <t xml:space="preserve"> (lata 350cc)</t>
    </r>
  </si>
  <si>
    <r>
      <t xml:space="preserve">Arroz Valle de oro </t>
    </r>
    <r>
      <rPr>
        <sz val="12"/>
        <color rgb="FF000000"/>
        <rFont val="Calibri"/>
        <family val="2"/>
      </rPr>
      <t>(largo, ancho G2)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</si>
  <si>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Wsp papá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</si>
  <si>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JUEVES ----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MARTES</t>
    </r>
  </si>
  <si>
    <t>Salmón premium con piel</t>
  </si>
  <si>
    <r>
      <t xml:space="preserve">PAPÁ INSUMOS                                          </t>
    </r>
    <r>
      <rPr>
        <sz val="12"/>
        <color rgb="FF000000"/>
        <rFont val="Calibri"/>
        <family val="2"/>
      </rPr>
      <t>(tarjeta)</t>
    </r>
  </si>
  <si>
    <t xml:space="preserve">Bolsa moneda 20 x 30cm </t>
  </si>
  <si>
    <t>caja 10 kilos</t>
  </si>
  <si>
    <t>Anguila Unagi (20x250gr)</t>
  </si>
  <si>
    <t>Aliño ramen vacuno</t>
  </si>
  <si>
    <t>Sobre americano 10x23cm 80gr</t>
  </si>
  <si>
    <t>Cód. comercio 45091254</t>
  </si>
  <si>
    <t xml:space="preserve">Tajín </t>
  </si>
  <si>
    <t>sushi</t>
  </si>
  <si>
    <t>Merluza Gayi (pescada típica)</t>
  </si>
  <si>
    <t>choc blanco</t>
  </si>
  <si>
    <t>foto noris</t>
  </si>
  <si>
    <t xml:space="preserve">papas </t>
  </si>
  <si>
    <t xml:space="preserve">MACAN                                               </t>
  </si>
  <si>
    <t>barriles</t>
  </si>
  <si>
    <t>canastillo x24</t>
  </si>
  <si>
    <t>maleta  x24</t>
  </si>
  <si>
    <t>Barril 30L</t>
  </si>
  <si>
    <t>Austral Calaf. (botellín 330cc)</t>
  </si>
  <si>
    <t>Heinekken botella (botellín 330cc)</t>
  </si>
  <si>
    <t>Kunst. Miel (botellín 330cc)</t>
  </si>
  <si>
    <t>Kunst. s/alc. (botellín 330cc)</t>
  </si>
  <si>
    <t>Kunst. Torob. (botellín 330cc)</t>
  </si>
  <si>
    <t xml:space="preserve">Fideos (luchetti) </t>
  </si>
  <si>
    <t>Masa wantán Happy Belly 9x9 (30pqtes x 300grs)</t>
  </si>
  <si>
    <t>China house, patronato</t>
  </si>
  <si>
    <r>
      <t xml:space="preserve">Crema de leche (batir) </t>
    </r>
    <r>
      <rPr>
        <b/>
        <u/>
        <sz val="12"/>
        <color rgb="FF000000"/>
        <rFont val="Calibri"/>
        <family val="2"/>
      </rPr>
      <t>COLÚN</t>
    </r>
    <r>
      <rPr>
        <sz val="12"/>
        <color rgb="FF000000"/>
        <rFont val="Calibri"/>
        <family val="2"/>
      </rPr>
      <t xml:space="preserve"> (sino Nestlé)</t>
    </r>
  </si>
  <si>
    <t>caja 1 LITRO</t>
  </si>
  <si>
    <t>Sake (cocina, barra)</t>
  </si>
  <si>
    <r>
      <t xml:space="preserve">Chocolate cobertura </t>
    </r>
    <r>
      <rPr>
        <b/>
        <u/>
        <sz val="12"/>
        <color rgb="FF000000"/>
        <rFont val="Calibri"/>
        <family val="2"/>
      </rPr>
      <t>blanco discos</t>
    </r>
    <r>
      <rPr>
        <sz val="12"/>
        <color rgb="FF000000"/>
        <rFont val="Calibri"/>
        <family val="2"/>
      </rPr>
      <t xml:space="preserve"> Caravella</t>
    </r>
  </si>
  <si>
    <t>Bandeja 233-S - 1 roll    (sino 242 emerg.)</t>
  </si>
  <si>
    <t>Bandeja 607-AN - 1 roll</t>
  </si>
  <si>
    <t>Papel fotoc. carta 75gr prisa</t>
  </si>
  <si>
    <t>Alcohol plus Simond's SPRAY 70%</t>
  </si>
  <si>
    <t>130 ml</t>
  </si>
  <si>
    <t>33733L</t>
  </si>
  <si>
    <t>33733M</t>
  </si>
  <si>
    <t>33733S</t>
  </si>
  <si>
    <t>10377VE</t>
  </si>
  <si>
    <t>Destacador Stabilo Boss Verde</t>
  </si>
  <si>
    <t>10377CE</t>
  </si>
  <si>
    <t>Destacador Stabilo Boss Celeste</t>
  </si>
  <si>
    <t>Archivador oficio ancho artel burdeo</t>
  </si>
  <si>
    <t>Escobillón Clorinda con mango multiuso</t>
  </si>
  <si>
    <r>
      <t>Canada dry zero</t>
    </r>
    <r>
      <rPr>
        <sz val="12"/>
        <color rgb="FF000000"/>
        <rFont val="Calibri"/>
        <family val="2"/>
      </rPr>
      <t xml:space="preserve"> (lata 350cc)</t>
    </r>
  </si>
  <si>
    <t>Esponja salva uñas x3 scotch brite (caja 32u)</t>
  </si>
  <si>
    <t>Caja archivo doble Memphis</t>
  </si>
  <si>
    <t>caja 2x6 kilos</t>
  </si>
  <si>
    <t>Queso crema Bega (alternativa) (barra 2k)</t>
  </si>
  <si>
    <t>equivalente 1 barra 1,36k</t>
  </si>
  <si>
    <t>ICB Food Service SPA</t>
  </si>
  <si>
    <t>cheque a 30 días</t>
  </si>
  <si>
    <t>Blanca Torres: +56953886302</t>
  </si>
  <si>
    <t>PEDIR:LU a SA --- LLEGA: LU a SA</t>
  </si>
  <si>
    <t>Salmón Fresco Trim E</t>
  </si>
  <si>
    <t>caja 15k</t>
  </si>
  <si>
    <t>Queso crema Swiss Farmers</t>
  </si>
  <si>
    <t>Queso crema Schreiber  (alternativa)</t>
  </si>
  <si>
    <t>caja 13,6 k</t>
  </si>
  <si>
    <t>Servilleta elite classic hoja simple (72u./caja) (emerg.)</t>
  </si>
  <si>
    <t xml:space="preserve">Arroz Tucapel Food Service </t>
  </si>
  <si>
    <t>5x2 kilos</t>
  </si>
  <si>
    <t>Manjar (solo NESTLÉ)</t>
  </si>
  <si>
    <t>Toalla de Papel Tecnopapel Jumbo 2 x250 Hoja Simple</t>
  </si>
  <si>
    <t>Toalla Tecnopapel Jumbo 2 Rollos 250 m H/S</t>
  </si>
  <si>
    <t>Manga decoración desechable transparente</t>
  </si>
  <si>
    <t>tarro 800gr</t>
  </si>
  <si>
    <t>Palmito entero</t>
  </si>
  <si>
    <t>Vinagre de manzana Traverso</t>
  </si>
  <si>
    <t>Vinagre de manzana Hernández (2x5L)</t>
  </si>
  <si>
    <t>(Virutilla) Lana Fina Virutex Clásica Mediana</t>
  </si>
  <si>
    <t>(Virutilla) Lana Fina Virutex Clásica Grande</t>
  </si>
  <si>
    <t>Bombillas de papel negras envueltas (mercadolibre)</t>
  </si>
  <si>
    <t>pqte. 1000u</t>
  </si>
  <si>
    <t>Bombillas de papel negras gruesas 8mm (mercadolibre)</t>
  </si>
  <si>
    <t>con IVA (1/25)</t>
  </si>
  <si>
    <t>con IVA (4/25)</t>
  </si>
  <si>
    <t>Guantes Nitrilo M</t>
  </si>
  <si>
    <t>Filete al vacío</t>
  </si>
  <si>
    <t>Néctar piña 1.5L</t>
  </si>
  <si>
    <r>
      <t xml:space="preserve">DK BOLSAS                                                </t>
    </r>
    <r>
      <rPr>
        <sz val="12"/>
        <color rgb="FF000000"/>
        <rFont val="Calibri"/>
        <family val="2"/>
      </rPr>
      <t>(tarjeta)</t>
    </r>
  </si>
  <si>
    <t>Bolsa basura (90x110) 70 mic</t>
  </si>
  <si>
    <r>
      <t xml:space="preserve">Aliño </t>
    </r>
    <r>
      <rPr>
        <b/>
        <sz val="12"/>
        <color rgb="FF000000"/>
        <rFont val="Calibri"/>
        <family val="2"/>
      </rPr>
      <t>AJÍ DE COLOR</t>
    </r>
  </si>
  <si>
    <r>
      <t xml:space="preserve">Aliño </t>
    </r>
    <r>
      <rPr>
        <b/>
        <sz val="12"/>
        <color rgb="FF000000"/>
        <rFont val="Calibri"/>
        <family val="2"/>
      </rPr>
      <t>AJO EN POLVO</t>
    </r>
  </si>
  <si>
    <r>
      <t xml:space="preserve">Aliño </t>
    </r>
    <r>
      <rPr>
        <b/>
        <sz val="12"/>
        <color rgb="FF000000"/>
        <rFont val="Calibri"/>
        <family val="2"/>
      </rPr>
      <t>merkén</t>
    </r>
  </si>
  <si>
    <r>
      <t xml:space="preserve">Aliño </t>
    </r>
    <r>
      <rPr>
        <b/>
        <sz val="12"/>
        <color rgb="FF000000"/>
        <rFont val="Calibri"/>
        <family val="2"/>
      </rPr>
      <t>nuez moscada</t>
    </r>
  </si>
  <si>
    <r>
      <t xml:space="preserve">Aliño </t>
    </r>
    <r>
      <rPr>
        <b/>
        <sz val="12"/>
        <color rgb="FF000000"/>
        <rFont val="Calibri"/>
        <family val="2"/>
      </rPr>
      <t>pimienta blanca</t>
    </r>
    <r>
      <rPr>
        <sz val="12"/>
        <color rgb="FF000000"/>
        <rFont val="Calibri"/>
        <family val="2"/>
      </rPr>
      <t xml:space="preserve"> molida</t>
    </r>
  </si>
  <si>
    <r>
      <t xml:space="preserve">Aliño </t>
    </r>
    <r>
      <rPr>
        <b/>
        <sz val="12"/>
        <color rgb="FF000000"/>
        <rFont val="Calibri"/>
        <family val="2"/>
      </rPr>
      <t>pimienta negra</t>
    </r>
    <r>
      <rPr>
        <sz val="12"/>
        <color rgb="FF000000"/>
        <rFont val="Calibri"/>
        <family val="2"/>
      </rPr>
      <t xml:space="preserve"> molida</t>
    </r>
  </si>
  <si>
    <t>paq 50 gramos</t>
  </si>
  <si>
    <r>
      <t xml:space="preserve">Aliño </t>
    </r>
    <r>
      <rPr>
        <b/>
        <sz val="12"/>
        <color rgb="FF000000"/>
        <rFont val="Calibri"/>
        <family val="2"/>
      </rPr>
      <t>ORÉGANO</t>
    </r>
    <r>
      <rPr>
        <sz val="12"/>
        <color rgb="FF000000"/>
        <rFont val="Calibri"/>
        <family val="2"/>
      </rPr>
      <t xml:space="preserve"> entero</t>
    </r>
  </si>
  <si>
    <r>
      <t xml:space="preserve">EL PALOMO                                     </t>
    </r>
    <r>
      <rPr>
        <sz val="12"/>
        <color rgb="FF000000"/>
        <rFont val="Calibri"/>
        <family val="2"/>
      </rPr>
      <t xml:space="preserve">   (tarjeta por internet?)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</si>
  <si>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LU</t>
    </r>
    <r>
      <rPr>
        <b/>
        <sz val="12"/>
        <color rgb="FF000000"/>
        <rFont val="Calibri"/>
        <family val="2"/>
      </rPr>
      <t xml:space="preserve"> LLEGA</t>
    </r>
    <r>
      <rPr>
        <sz val="12"/>
        <color rgb="FF000000"/>
        <rFont val="Calibri"/>
        <family val="2"/>
      </rPr>
      <t>: en X días aprox</t>
    </r>
  </si>
  <si>
    <r>
      <rPr>
        <b/>
        <sz val="12"/>
        <color rgb="FF000000"/>
        <rFont val="Calibri"/>
        <family val="2"/>
      </rPr>
      <t>WEB</t>
    </r>
    <r>
      <rPr>
        <sz val="12"/>
        <color rgb="FF000000"/>
        <rFont val="Calibri"/>
        <family val="2"/>
      </rPr>
      <t>: www.elpalomo.cl</t>
    </r>
  </si>
  <si>
    <r>
      <t xml:space="preserve">wsp: </t>
    </r>
    <r>
      <rPr>
        <sz val="12"/>
        <color rgb="FF000000"/>
        <rFont val="Calibri"/>
        <family val="2"/>
      </rPr>
      <t>+56941782792</t>
    </r>
  </si>
  <si>
    <t>Pistachos natural sin cáscara</t>
  </si>
  <si>
    <t>caja 40u.</t>
  </si>
  <si>
    <t>$1.350 c/u</t>
  </si>
  <si>
    <r>
      <t xml:space="preserve">Aliño </t>
    </r>
    <r>
      <rPr>
        <b/>
        <sz val="12"/>
        <color rgb="FF000000"/>
        <rFont val="Calibri"/>
        <family val="2"/>
      </rPr>
      <t>CEBOLLA EN POLVO</t>
    </r>
  </si>
  <si>
    <t>Balde c/escurridor para mopas 14Lts Virutex Rojo-azul</t>
  </si>
  <si>
    <t>Balde c/escurridor para mopas 14Lts Bettanin Verde-gris</t>
  </si>
  <si>
    <t>Chocolate de leche</t>
  </si>
  <si>
    <t>botellita</t>
  </si>
  <si>
    <t>91611MZ</t>
  </si>
  <si>
    <t>Jabón líquido Tremex manzana</t>
  </si>
  <si>
    <t>Jabón líquido Le Sancy Profesional</t>
  </si>
  <si>
    <r>
      <t xml:space="preserve">TOST.CL                                          </t>
    </r>
    <r>
      <rPr>
        <sz val="12"/>
        <color rgb="FF000000"/>
        <rFont val="Calibri"/>
        <family val="2"/>
      </rPr>
      <t>(transferencia)</t>
    </r>
  </si>
  <si>
    <t>200cc</t>
  </si>
  <si>
    <t>Espumante Amaranta BRUT</t>
  </si>
  <si>
    <t>1 L</t>
  </si>
  <si>
    <t>Gin Beefeater 40°</t>
  </si>
  <si>
    <t>Licor Curaçao blue Mitjans</t>
  </si>
  <si>
    <t>0,965 L</t>
  </si>
  <si>
    <t>Licor de Cassis Mitjans</t>
  </si>
  <si>
    <t>Licor de Durazno Tres Pumas</t>
  </si>
  <si>
    <t>Pisco Alto del Carmen 40° Reservado</t>
  </si>
  <si>
    <t xml:space="preserve">Ron blanco Mitjans </t>
  </si>
  <si>
    <t>Ron Matusalem 7 años</t>
  </si>
  <si>
    <t>Tequila blanco  Senda Real 38°</t>
  </si>
  <si>
    <t>Vodka Eristoff 37,5°</t>
  </si>
  <si>
    <t>0,5 L</t>
  </si>
  <si>
    <r>
      <t xml:space="preserve">Limoncello </t>
    </r>
    <r>
      <rPr>
        <sz val="12"/>
        <color rgb="FF000000"/>
        <rFont val="Calibri"/>
        <family val="2"/>
      </rPr>
      <t>Genovese 30°</t>
    </r>
  </si>
  <si>
    <t xml:space="preserve">Espumante Valdivieso Moscato Botella </t>
  </si>
  <si>
    <t xml:space="preserve">Espumante Chandon Brut 12º Botella </t>
  </si>
  <si>
    <t xml:space="preserve">Espumante Riccadonna Asti Botella </t>
  </si>
  <si>
    <r>
      <rPr>
        <b/>
        <sz val="12"/>
        <color rgb="FF000000"/>
        <rFont val="Calibri"/>
        <family val="2"/>
      </rPr>
      <t>schweppes tónica</t>
    </r>
    <r>
      <rPr>
        <sz val="12"/>
        <color rgb="FF000000"/>
        <rFont val="Calibri"/>
        <family val="2"/>
      </rPr>
      <t xml:space="preserve"> (lata 350cc)</t>
    </r>
  </si>
  <si>
    <t>Vaso Austral 300cc (cód. 268407)</t>
  </si>
  <si>
    <t>Vaso Kunstmann 310cc (cód. 268758)</t>
  </si>
  <si>
    <t>Vaso Austral 500cc (cód.268408)</t>
  </si>
  <si>
    <t>Vaso Heineken 500cc (cód. 254478)</t>
  </si>
  <si>
    <t>Vaso Kunstmann 500cc (cód.268759)</t>
  </si>
  <si>
    <t>Surtido de mariscos</t>
  </si>
  <si>
    <t>cajas 15k</t>
  </si>
  <si>
    <t>Pulpo del norte 1 - 2up ($6.133/kg)</t>
  </si>
  <si>
    <t>Whisky Johnnie black</t>
  </si>
  <si>
    <t>Vino misiones sauvignon blanc - varietal</t>
  </si>
  <si>
    <t>Vino misiones merlot  - varietal</t>
  </si>
  <si>
    <t>Vino misiones chardonnay  - varietal</t>
  </si>
  <si>
    <t>Vino misiones cabernet sauvignon - varietal</t>
  </si>
  <si>
    <t>Ron baccardi coconut (sino hay , malibú o flor caña ultra coco)</t>
  </si>
  <si>
    <t>Vino misiones rosé - varietal (sino hay, rosé late harvest)</t>
  </si>
  <si>
    <t xml:space="preserve">Red Bull Yellow </t>
  </si>
  <si>
    <t>pack x24</t>
  </si>
  <si>
    <t>Whisky Johnnie red</t>
  </si>
  <si>
    <r>
      <rPr>
        <b/>
        <u/>
        <sz val="16"/>
        <color rgb="FF000000"/>
        <rFont val="Calibri"/>
        <family val="2"/>
      </rPr>
      <t>PEDIR A BIDFOOD</t>
    </r>
    <r>
      <rPr>
        <b/>
        <sz val="16"/>
        <color rgb="FF000000"/>
        <rFont val="Calibri"/>
        <family val="2"/>
      </rPr>
      <t>, SI NO HAY SEGURIDAD CON EL ENVÍO O FALTA DE STOCK</t>
    </r>
  </si>
  <si>
    <t>Harina Tempura mayamoto (cajas 10k)</t>
  </si>
  <si>
    <t>Reineta 100 - 400grs</t>
  </si>
  <si>
    <t xml:space="preserve">Merluza Austral 400-600grs </t>
  </si>
  <si>
    <t>Ron blanco Maddero (mejor sabor)</t>
  </si>
  <si>
    <t>100u.</t>
  </si>
  <si>
    <t>Nori Hoja Soya-Sésamo</t>
  </si>
  <si>
    <t>paq. 20 hojas</t>
  </si>
  <si>
    <t>pack 4u.</t>
  </si>
  <si>
    <r>
      <t xml:space="preserve">Bilz </t>
    </r>
    <r>
      <rPr>
        <sz val="12"/>
        <color rgb="FF000000"/>
        <rFont val="Calibri"/>
        <family val="2"/>
      </rPr>
      <t>(lata 350cc)</t>
    </r>
  </si>
  <si>
    <t>Envase metálico para nori</t>
  </si>
  <si>
    <t>Néctar manzana cajita 200ml con bombilla</t>
  </si>
  <si>
    <t>nec. Durazno (Andina del valle vidrio) 300ml - osakids</t>
  </si>
  <si>
    <t>nec. Naranja (Andina del valle vidrio) 300ml - barra</t>
  </si>
  <si>
    <t>nec. Piña (Andina del valle vidrio) 300ml - osakids</t>
  </si>
  <si>
    <t>BARRA PIDE</t>
  </si>
  <si>
    <t>COCINA PIDE</t>
  </si>
  <si>
    <t xml:space="preserve">COMPLETAR               </t>
  </si>
  <si>
    <r>
      <t xml:space="preserve">Aceite </t>
    </r>
    <r>
      <rPr>
        <b/>
        <u/>
        <sz val="12"/>
        <color rgb="FF000000"/>
        <rFont val="Calibri"/>
        <family val="2"/>
      </rPr>
      <t>MARAVILLA</t>
    </r>
    <r>
      <rPr>
        <sz val="12"/>
        <color rgb="FF000000"/>
        <rFont val="Calibri"/>
        <family val="2"/>
      </rPr>
      <t xml:space="preserve"> miraflores o chef  (CAJA 15L)</t>
    </r>
  </si>
  <si>
    <r>
      <t xml:space="preserve">Aceite </t>
    </r>
    <r>
      <rPr>
        <b/>
        <u/>
        <sz val="12"/>
        <color rgb="FF000000"/>
        <rFont val="Calibri"/>
        <family val="2"/>
      </rPr>
      <t>VEGETAL</t>
    </r>
    <r>
      <rPr>
        <sz val="12"/>
        <color rgb="FF000000"/>
        <rFont val="Calibri"/>
        <family val="2"/>
      </rPr>
      <t xml:space="preserve"> miraflores (</t>
    </r>
    <r>
      <rPr>
        <b/>
        <sz val="12"/>
        <color rgb="FF000000"/>
        <rFont val="Calibri"/>
        <family val="2"/>
      </rPr>
      <t>CAJA 15L</t>
    </r>
    <r>
      <rPr>
        <sz val="12"/>
        <color rgb="FF000000"/>
        <rFont val="Calibri"/>
        <family val="2"/>
      </rPr>
      <t>)</t>
    </r>
  </si>
  <si>
    <t>NO POR AHORA</t>
  </si>
  <si>
    <t>Churrasco king  (para plaq. sushi) (cajas 39u.)</t>
  </si>
  <si>
    <t>Cong. choclo  (para colación, ramen)</t>
  </si>
  <si>
    <t>Galleta cracker (pedir de a 3)</t>
  </si>
  <si>
    <t>caja 6k (12x500gr)</t>
  </si>
  <si>
    <t>Sal (lobos) fina de mesa (mangas x10k)</t>
  </si>
  <si>
    <t>pack 400u.</t>
  </si>
  <si>
    <t>Bombilla negra kraft 6mm</t>
  </si>
  <si>
    <t>Esterilla plana bambú</t>
  </si>
  <si>
    <t>Bombilla BLANCA kraft D6 (6mm)</t>
  </si>
  <si>
    <t>Bombilla NEGRA kraft D6 (6mm) - 0103Op22</t>
  </si>
  <si>
    <t>Bombilla BLANCA kraft D6 (6mm) - envuelta</t>
  </si>
  <si>
    <t>Bombilla NEGRA kraft D6 (6mm) - envuelta 0103Op23</t>
  </si>
  <si>
    <t>Tinta impresora Brother BTD60-BK NEGRO</t>
  </si>
  <si>
    <t>Tinta impresora Brother BT5001-C CYAN</t>
  </si>
  <si>
    <t>Tinta impresora Brother BT5001-Y AMARILLO</t>
  </si>
  <si>
    <t>Tinta impresora Brother BT5001-M MAGENTA</t>
  </si>
  <si>
    <r>
      <t xml:space="preserve">Pechera tresor extra </t>
    </r>
    <r>
      <rPr>
        <b/>
        <sz val="12"/>
        <color rgb="FF000000"/>
        <rFont val="Calibri"/>
        <family val="2"/>
      </rPr>
      <t>gruesa</t>
    </r>
    <r>
      <rPr>
        <sz val="12"/>
        <color rgb="FF000000"/>
        <rFont val="Calibri"/>
        <family val="2"/>
      </rPr>
      <t xml:space="preserve"> 70x100cm blco.- grosor 0,32cms</t>
    </r>
  </si>
  <si>
    <r>
      <t xml:space="preserve">Pechera tresor extra </t>
    </r>
    <r>
      <rPr>
        <b/>
        <sz val="12"/>
        <color rgb="FF000000"/>
        <rFont val="Calibri"/>
        <family val="2"/>
      </rPr>
      <t>grande</t>
    </r>
    <r>
      <rPr>
        <sz val="12"/>
        <color rgb="FF000000"/>
        <rFont val="Calibri"/>
        <family val="2"/>
      </rPr>
      <t xml:space="preserve"> 90x115cm blco.- grosor 0,17cms</t>
    </r>
  </si>
  <si>
    <r>
      <t xml:space="preserve">Pechera Steelpro Doble Faz extra </t>
    </r>
    <r>
      <rPr>
        <b/>
        <sz val="12"/>
        <color rgb="FF000000"/>
        <rFont val="Calibri"/>
        <family val="2"/>
      </rPr>
      <t>gruesa</t>
    </r>
    <r>
      <rPr>
        <sz val="12"/>
        <color rgb="FF000000"/>
        <rFont val="Calibri"/>
        <family val="2"/>
      </rPr>
      <t xml:space="preserve"> 52x94cm blco.- grosor 0,6cms</t>
    </r>
  </si>
  <si>
    <t>Pulpa de Piña (minuto verde o guallarauco)</t>
  </si>
  <si>
    <t>Arándano entero nacional - Smart choice</t>
  </si>
  <si>
    <t>Pulpa de Frutilla (solo minuto verde)</t>
  </si>
  <si>
    <t>Pulpa de Frambuesa (minuto verde o guall.)</t>
  </si>
  <si>
    <t>Pulpa de Mango (minuto verde o guall.)</t>
  </si>
  <si>
    <t>Pulpa de Maracuyá fina (solo guallarauco)</t>
  </si>
  <si>
    <t>Salmón ahumado laminado</t>
  </si>
  <si>
    <t>Bolsa basura (90x120x70mic) - Equality (Franklin)</t>
  </si>
  <si>
    <t>valor x mayor =+100x10u.</t>
  </si>
  <si>
    <t>Pisco 35° capel especial 2ble destilado</t>
  </si>
  <si>
    <r>
      <t xml:space="preserve">Azúcar </t>
    </r>
    <r>
      <rPr>
        <b/>
        <sz val="12"/>
        <color rgb="FF000000"/>
        <rFont val="Calibri"/>
        <family val="2"/>
      </rPr>
      <t>IANSA</t>
    </r>
    <r>
      <rPr>
        <sz val="12"/>
        <color rgb="FF000000"/>
        <rFont val="Calibri"/>
        <family val="2"/>
      </rPr>
      <t xml:space="preserve"> (boksa 1k)</t>
    </r>
  </si>
  <si>
    <t>22.15.25</t>
  </si>
  <si>
    <r>
      <rPr>
        <b/>
        <sz val="12"/>
        <color rgb="FF000000"/>
        <rFont val="Calibri"/>
        <family val="2"/>
      </rPr>
      <t>Dispensador</t>
    </r>
    <r>
      <rPr>
        <sz val="12"/>
        <color rgb="FF000000"/>
        <rFont val="Calibri"/>
        <family val="2"/>
      </rPr>
      <t xml:space="preserve"> de Toalla Elite Manual Blanco</t>
    </r>
  </si>
  <si>
    <r>
      <t xml:space="preserve">Carpeta Vinil Torre </t>
    </r>
    <r>
      <rPr>
        <b/>
        <sz val="12"/>
        <color rgb="FF000000"/>
        <rFont val="Calibri"/>
        <family val="2"/>
      </rPr>
      <t>Carta</t>
    </r>
    <r>
      <rPr>
        <sz val="12"/>
        <color rgb="FF000000"/>
        <rFont val="Calibri"/>
        <family val="2"/>
      </rPr>
      <t xml:space="preserve"> Fast Pigmentada Negro</t>
    </r>
  </si>
  <si>
    <r>
      <t xml:space="preserve">Pimentón </t>
    </r>
    <r>
      <rPr>
        <b/>
        <u/>
        <sz val="24"/>
        <color rgb="FF000000"/>
        <rFont val="Calibri"/>
        <family val="2"/>
      </rPr>
      <t>ROJO</t>
    </r>
    <r>
      <rPr>
        <sz val="24"/>
        <color rgb="FF000000"/>
        <rFont val="Calibri"/>
        <family val="2"/>
      </rPr>
      <t xml:space="preserve"> </t>
    </r>
    <r>
      <rPr>
        <b/>
        <i/>
        <sz val="24"/>
        <color rgb="FF000000"/>
        <rFont val="Calibri"/>
        <family val="2"/>
      </rPr>
      <t>CHICO</t>
    </r>
    <r>
      <rPr>
        <sz val="24"/>
        <color rgb="FF000000"/>
        <rFont val="Calibri"/>
        <family val="2"/>
      </rPr>
      <t xml:space="preserve"> - 170 a 219 grs</t>
    </r>
  </si>
  <si>
    <t>ALÓ SANTIAGO</t>
  </si>
  <si>
    <t>CCU</t>
  </si>
  <si>
    <t>DEANDES PACK</t>
  </si>
  <si>
    <t>MACÁN</t>
  </si>
  <si>
    <t>MR FOX</t>
  </si>
  <si>
    <t>MUNDO SUSHI PALTAS</t>
  </si>
  <si>
    <t>PRISA</t>
  </si>
  <si>
    <t>RAPA-NUI</t>
  </si>
  <si>
    <t>RESTOMARKET</t>
  </si>
  <si>
    <t>SEA GARDEN</t>
  </si>
  <si>
    <t>VANNI</t>
  </si>
  <si>
    <t>VIERNES</t>
  </si>
  <si>
    <t>SÁBADO</t>
  </si>
  <si>
    <t>MUNDO SUSHI SALMÓN</t>
  </si>
  <si>
    <t>MUNDO SUSHI ARROZ</t>
  </si>
  <si>
    <t>TOST</t>
  </si>
  <si>
    <t>ICB FOOD</t>
  </si>
  <si>
    <t>IMPRENTA MELIPILLA</t>
  </si>
  <si>
    <t>QUIERO HIELO</t>
  </si>
  <si>
    <t>NESPRESSO CAFÉ</t>
  </si>
  <si>
    <t>EQUALITY BOLSAS BASURA</t>
  </si>
  <si>
    <t>EMPRESA</t>
  </si>
  <si>
    <r>
      <t xml:space="preserve">LOZA Y CRISTAL   </t>
    </r>
    <r>
      <rPr>
        <sz val="12"/>
        <color rgb="FF000000"/>
        <rFont val="Calibri"/>
        <family val="2"/>
      </rPr>
      <t xml:space="preserve">                                                             pago directo</t>
    </r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</si>
  <si>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 chequeo mensual -</t>
    </r>
    <r>
      <rPr>
        <b/>
        <sz val="12"/>
        <color rgb="FF000000"/>
        <rFont val="Calibri"/>
        <family val="2"/>
      </rPr>
      <t xml:space="preserve"> RETIRO</t>
    </r>
    <r>
      <rPr>
        <sz val="12"/>
        <color rgb="FF000000"/>
        <rFont val="Calibri"/>
        <family val="2"/>
      </rPr>
      <t>: itinerario Naty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</si>
  <si>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 Naty</t>
    </r>
  </si>
  <si>
    <t>WL - 992686/A</t>
  </si>
  <si>
    <t>CAJA 12U.</t>
  </si>
  <si>
    <t>Pocillo soya mesas - WILMAX</t>
  </si>
  <si>
    <t>Cuchara mesa jenny</t>
  </si>
  <si>
    <t>Tenedor mesa Jenny</t>
  </si>
  <si>
    <t>Cuchillo mesa Jenny</t>
  </si>
  <si>
    <t>Cuchara postre</t>
  </si>
  <si>
    <t>Tenedor postre</t>
  </si>
  <si>
    <t>Pocillo gohan y ramen</t>
  </si>
  <si>
    <t>Pocillo pequeño (1/2 ceviche)</t>
  </si>
  <si>
    <t>Lengua montaje mesas</t>
  </si>
  <si>
    <t>Soyeros mesa</t>
  </si>
  <si>
    <t>REVISAR VASOS Y LOZA EN ÚLTIMA PÁGINA</t>
  </si>
  <si>
    <t>Copa</t>
  </si>
  <si>
    <t>ESPORÁDICOS</t>
  </si>
  <si>
    <t>NATY SUPER - TIENDA MELI</t>
  </si>
  <si>
    <t>NATY LOZA SANTIAGO</t>
  </si>
  <si>
    <t>•</t>
  </si>
  <si>
    <t>SEMANA: _____ / _____</t>
  </si>
  <si>
    <t>FRECUENCIA</t>
  </si>
  <si>
    <t>DIARIO</t>
  </si>
  <si>
    <t>DESPENSA</t>
  </si>
  <si>
    <t>GAS</t>
  </si>
  <si>
    <t>INSUMOS</t>
  </si>
  <si>
    <t>CARNES</t>
  </si>
  <si>
    <t>BAR</t>
  </si>
  <si>
    <t>OTRO</t>
  </si>
  <si>
    <t>DÍA PEDIDO</t>
  </si>
  <si>
    <t>1. DIARIO</t>
  </si>
  <si>
    <t>2. SEMANAL</t>
  </si>
  <si>
    <t>3. QUINCENAL</t>
  </si>
  <si>
    <t>4. MENSUAL</t>
  </si>
  <si>
    <t>5. BIMENSUAL</t>
  </si>
  <si>
    <t>6. ESPORÁDICO</t>
  </si>
  <si>
    <t>ALEJANDRA                                                     (revisión para jueves)</t>
  </si>
  <si>
    <t>N</t>
  </si>
  <si>
    <t>• = "día(s) recepción habitual</t>
  </si>
  <si>
    <t>Crema Nestlé 1L</t>
  </si>
  <si>
    <t>Panko Mayamoto</t>
  </si>
  <si>
    <t>bolsa 250gr</t>
  </si>
  <si>
    <t>Aliño - Ají de color en polvo</t>
  </si>
  <si>
    <t>Aliño - Ajo en polvo</t>
  </si>
  <si>
    <t>ENVIADO OK                 (O SIN PEDIDO)</t>
  </si>
  <si>
    <t>ORDEN FILTRO &gt;&gt;</t>
  </si>
  <si>
    <t>COLACIÓN SEMANA:</t>
  </si>
  <si>
    <t xml:space="preserve">  NOTAS:</t>
  </si>
  <si>
    <t>ALEJANDRA                                                              (para próximo lunes)</t>
  </si>
  <si>
    <t>Esponja Abrasiva Manlac Anatómica 3 Unidades</t>
  </si>
  <si>
    <t>Esponja Abrasiva Virutex Acanalada Cobre Display de 2 Unidades</t>
  </si>
  <si>
    <t>Esponja Abrasiva 3M Scotch Brite Cero Rayas Naranjo 3 Unidades</t>
  </si>
  <si>
    <t>Esponja Abrasiva Aileda Lavaloza 3 Unidades</t>
  </si>
  <si>
    <t>Esponja Abrasiva Secowash para Parilla 2 Unidades</t>
  </si>
  <si>
    <t>Esponja Abrasiva 3M Scotch Brite 7447</t>
  </si>
  <si>
    <t>60 mL</t>
  </si>
  <si>
    <t>Rollo térmico 80mt x 80mm x 13mm 44Gr</t>
  </si>
  <si>
    <t>COCA-COLA                                            (bebidas)</t>
  </si>
  <si>
    <t>COCA-COLA                                            (licores)</t>
  </si>
  <si>
    <t>CARNES ÑUBLE</t>
  </si>
  <si>
    <r>
      <t xml:space="preserve">Pimentón </t>
    </r>
    <r>
      <rPr>
        <b/>
        <u/>
        <sz val="24"/>
        <color rgb="FF000000"/>
        <rFont val="Calibri"/>
        <family val="2"/>
      </rPr>
      <t>ROJO</t>
    </r>
    <r>
      <rPr>
        <sz val="24"/>
        <color rgb="FF000000"/>
        <rFont val="Calibri"/>
        <family val="2"/>
      </rPr>
      <t xml:space="preserve"> </t>
    </r>
    <r>
      <rPr>
        <b/>
        <i/>
        <sz val="24"/>
        <color rgb="FF000000"/>
        <rFont val="Calibri"/>
        <family val="2"/>
      </rPr>
      <t xml:space="preserve">JUMBO - </t>
    </r>
    <r>
      <rPr>
        <sz val="24"/>
        <color rgb="FF000000"/>
        <rFont val="Calibri"/>
        <family val="2"/>
      </rPr>
      <t>290 + grs</t>
    </r>
  </si>
  <si>
    <r>
      <t xml:space="preserve">Pimentón </t>
    </r>
    <r>
      <rPr>
        <b/>
        <u/>
        <sz val="24"/>
        <color rgb="FF000000"/>
        <rFont val="Calibri"/>
        <family val="2"/>
      </rPr>
      <t>ROJO</t>
    </r>
    <r>
      <rPr>
        <sz val="24"/>
        <color rgb="FF000000"/>
        <rFont val="Calibri"/>
        <family val="2"/>
      </rPr>
      <t xml:space="preserve"> </t>
    </r>
    <r>
      <rPr>
        <b/>
        <i/>
        <sz val="24"/>
        <color rgb="FF000000"/>
        <rFont val="Calibri"/>
        <family val="2"/>
      </rPr>
      <t>MEDIANO</t>
    </r>
    <r>
      <rPr>
        <sz val="24"/>
        <color rgb="FF000000"/>
        <rFont val="Calibri"/>
        <family val="2"/>
      </rPr>
      <t xml:space="preserve"> - 220 a 289 grs</t>
    </r>
  </si>
  <si>
    <t>Almendras enteras</t>
  </si>
  <si>
    <t>Mayonesa Real Kraft</t>
  </si>
  <si>
    <t>galón 3,78 L</t>
  </si>
  <si>
    <t>OSAKE SANTA MARÍA</t>
  </si>
  <si>
    <t>OSAKE SANTA MARÍA - RECEPCIÓN PROVEDORES</t>
  </si>
  <si>
    <t>SM</t>
  </si>
  <si>
    <t>OSAKE 2 - SANTA MARÍA</t>
  </si>
  <si>
    <t>caja 2k</t>
  </si>
  <si>
    <t>Tocino ahumado e trozos (4 x 500grs)</t>
  </si>
  <si>
    <t>Repollo liso</t>
  </si>
  <si>
    <t>cocina</t>
  </si>
  <si>
    <r>
      <t xml:space="preserve">Cebollín (calidad </t>
    </r>
    <r>
      <rPr>
        <b/>
        <sz val="24"/>
        <rFont val="Calibri"/>
        <family val="2"/>
      </rPr>
      <t>HOJAS y CABEZAS GRANDES</t>
    </r>
    <r>
      <rPr>
        <sz val="24"/>
        <rFont val="Calibri"/>
        <family val="2"/>
      </rPr>
      <t>)</t>
    </r>
  </si>
  <si>
    <t>Coco hojuelas</t>
  </si>
  <si>
    <t>sushi (nems)</t>
  </si>
  <si>
    <r>
      <t xml:space="preserve">Cilantro paquete (GRANDE, fresco)  </t>
    </r>
    <r>
      <rPr>
        <b/>
        <i/>
        <u/>
        <sz val="24"/>
        <rFont val="Calibri"/>
        <family val="2"/>
      </rPr>
      <t>LUNES</t>
    </r>
  </si>
  <si>
    <t>cocina (decor.?)</t>
  </si>
  <si>
    <t>Espinaca</t>
  </si>
  <si>
    <t>Cilantro mata (PEQUEÑO, fresco)</t>
  </si>
  <si>
    <t>Brócoli GRANDE o equivalente</t>
  </si>
  <si>
    <t>barra y sushi</t>
  </si>
  <si>
    <t>caja x 1.000u</t>
  </si>
  <si>
    <t>Envase plástico dely 240cc (8 oz) - se pueden pedir menos de 1000</t>
  </si>
  <si>
    <t>Sin alcohol - Gin Praga</t>
  </si>
  <si>
    <t>Syrup - 183 Curazao</t>
  </si>
  <si>
    <t>Sin alcohol - Spritz Aurelia</t>
  </si>
  <si>
    <t>Sin alcohol - Vino Aliwen Carmenere Alcohol Free</t>
  </si>
  <si>
    <t>Sin alcohol - Vino Aliwen Chardonnay Alcohol Free</t>
  </si>
  <si>
    <t>Syrup - Monin Amaretto</t>
  </si>
  <si>
    <t>Martini blanco</t>
  </si>
  <si>
    <t>Sin alcohol - Tanqueray Alcohol Free</t>
  </si>
  <si>
    <t>Sin alcohol - Tequila Seven Giants Blanco Style</t>
  </si>
  <si>
    <t>Granadina mitjans</t>
  </si>
  <si>
    <t>0,9 L</t>
  </si>
  <si>
    <t>Syrup - Giffard Orange sanguine (naranja)</t>
  </si>
  <si>
    <t>Syrup - Giffard Mangue (mango)</t>
  </si>
  <si>
    <t>Syrup - Giffard Violette (violeta)</t>
  </si>
  <si>
    <t>Syrup - Giffard Mure (mora) o Blackberry</t>
  </si>
  <si>
    <t>Syrup - Giffard Flor de sauco</t>
  </si>
  <si>
    <t>Sin alcohol - Zerozotti</t>
  </si>
  <si>
    <t>Sin alcohol - Espumante Undurraga Rosé Alcohol Free</t>
  </si>
  <si>
    <t>poco</t>
  </si>
  <si>
    <t>harto</t>
  </si>
  <si>
    <t>medio</t>
  </si>
  <si>
    <t>casi nada</t>
  </si>
  <si>
    <t>nada</t>
  </si>
  <si>
    <t>nuevo</t>
  </si>
  <si>
    <t>caja 12K</t>
  </si>
  <si>
    <t>Tomate cherry</t>
  </si>
  <si>
    <t>caja 12k</t>
  </si>
  <si>
    <t>Pollo trutro ala</t>
  </si>
  <si>
    <t>Albúmina de  huevo</t>
  </si>
  <si>
    <t>Merluza Austral PEQUEÑA (caja 5 kilos)</t>
  </si>
  <si>
    <t>Nori Rojo o Gold</t>
  </si>
  <si>
    <t>Repollo morado</t>
  </si>
  <si>
    <r>
      <t xml:space="preserve">Albahaca </t>
    </r>
    <r>
      <rPr>
        <b/>
        <sz val="24"/>
        <rFont val="Calibri"/>
        <family val="2"/>
      </rPr>
      <t>mata</t>
    </r>
    <r>
      <rPr>
        <sz val="24"/>
        <rFont val="Calibri"/>
        <family val="2"/>
      </rPr>
      <t xml:space="preserve"> </t>
    </r>
    <r>
      <rPr>
        <b/>
        <sz val="24"/>
        <rFont val="Calibri"/>
        <family val="2"/>
      </rPr>
      <t>(fresco)</t>
    </r>
    <r>
      <rPr>
        <sz val="24"/>
        <rFont val="Calibri"/>
        <family val="2"/>
      </rPr>
      <t xml:space="preserve"> - </t>
    </r>
    <r>
      <rPr>
        <b/>
        <sz val="24"/>
        <rFont val="Calibri"/>
        <family val="2"/>
      </rPr>
      <t>PARA BARRA</t>
    </r>
  </si>
  <si>
    <r>
      <t xml:space="preserve">Albahaca </t>
    </r>
    <r>
      <rPr>
        <b/>
        <sz val="24"/>
        <rFont val="Calibri"/>
        <family val="2"/>
      </rPr>
      <t>mata</t>
    </r>
    <r>
      <rPr>
        <sz val="24"/>
        <rFont val="Calibri"/>
        <family val="2"/>
      </rPr>
      <t xml:space="preserve"> </t>
    </r>
    <r>
      <rPr>
        <b/>
        <sz val="24"/>
        <rFont val="Calibri"/>
        <family val="2"/>
      </rPr>
      <t>(fresco)</t>
    </r>
    <r>
      <rPr>
        <sz val="24"/>
        <rFont val="Calibri"/>
        <family val="2"/>
      </rPr>
      <t xml:space="preserve"> - </t>
    </r>
    <r>
      <rPr>
        <b/>
        <sz val="24"/>
        <rFont val="Calibri"/>
        <family val="2"/>
      </rPr>
      <t>PARA COCINA</t>
    </r>
  </si>
  <si>
    <t>bolsitas</t>
  </si>
  <si>
    <t>jamón porcionado (preg. Cocina)</t>
  </si>
  <si>
    <t xml:space="preserve">lata </t>
  </si>
  <si>
    <t>Jabón glicerina multiflex Elite (disps. negros clientes)</t>
  </si>
  <si>
    <t>Betarraga GRANDE</t>
  </si>
  <si>
    <t>Fideos udón seco (pqte. 300gr, 3 porciones)</t>
  </si>
  <si>
    <t>pack x4u.</t>
  </si>
  <si>
    <t>paquetes</t>
  </si>
  <si>
    <t>Salmón otros trozos</t>
  </si>
  <si>
    <t>bandeja</t>
  </si>
  <si>
    <t>bolas</t>
  </si>
  <si>
    <t>Salmón merma</t>
  </si>
  <si>
    <t>tentáculos de pulpo (mise en place)</t>
  </si>
  <si>
    <t>mise en p.</t>
  </si>
  <si>
    <t>Trutro ala porcionado</t>
  </si>
  <si>
    <t>Trutro entero porcionado</t>
  </si>
  <si>
    <t>Pichanga porcionada</t>
  </si>
  <si>
    <t>bolsas</t>
  </si>
  <si>
    <t>UBICACIÓN</t>
  </si>
  <si>
    <t>STOCK ACTUAL</t>
  </si>
  <si>
    <t>VIE</t>
  </si>
  <si>
    <t>bodega ppal.</t>
  </si>
  <si>
    <t>foto</t>
  </si>
  <si>
    <t>bodega bar</t>
  </si>
  <si>
    <t>bar o cocina</t>
  </si>
  <si>
    <t>bar y cocina</t>
  </si>
  <si>
    <t>bolsita</t>
  </si>
  <si>
    <t>bidon 5L</t>
  </si>
  <si>
    <t>contenedor</t>
  </si>
  <si>
    <t>AL RECIBIR MERCADERÍA ENVIAR FOTO DE PLANILLA ACTUALIZADA AL GRUPO WSP</t>
  </si>
  <si>
    <t>Jugo de limón exprimido (por fechas)</t>
  </si>
  <si>
    <t>Limón fresco para decoración</t>
  </si>
  <si>
    <t>Mango congelado (plaquetas y picado)</t>
  </si>
  <si>
    <t>mise en place</t>
  </si>
  <si>
    <t>INVENTARIO PEDIDOS</t>
  </si>
  <si>
    <t xml:space="preserve">pote </t>
  </si>
  <si>
    <t>REVISAR UBICACIONES</t>
  </si>
  <si>
    <t>AGROSUPER                                               (para viernes)</t>
  </si>
  <si>
    <t>AGROSUPER                                               (para martes)</t>
  </si>
  <si>
    <t>plato</t>
  </si>
  <si>
    <t>Apio picado en bowl</t>
  </si>
  <si>
    <t>Pesto de cilantro porcionado congelado</t>
  </si>
  <si>
    <t>Pesto de Albahaca porcionada congelada</t>
  </si>
  <si>
    <t>Ciboulette picado en contenedor pequeño</t>
  </si>
  <si>
    <t>Ciboulette guardado con papel en contenedor</t>
  </si>
  <si>
    <t>Cebollín guardado en contenedores</t>
  </si>
  <si>
    <t>Apio guardado en contenedores</t>
  </si>
  <si>
    <t>Cebollín picado en bowl</t>
  </si>
  <si>
    <t>bowl</t>
  </si>
  <si>
    <t>RECIBIDO TODO OK?</t>
  </si>
  <si>
    <t xml:space="preserve">cocina </t>
  </si>
  <si>
    <r>
      <t xml:space="preserve">Lechuga </t>
    </r>
    <r>
      <rPr>
        <b/>
        <sz val="24"/>
        <rFont val="Calibri"/>
        <family val="2"/>
      </rPr>
      <t>milanesa o española</t>
    </r>
  </si>
  <si>
    <r>
      <t xml:space="preserve">Lechuga </t>
    </r>
    <r>
      <rPr>
        <b/>
        <sz val="24"/>
        <rFont val="Calibri"/>
        <family val="2"/>
      </rPr>
      <t>española</t>
    </r>
    <r>
      <rPr>
        <sz val="24"/>
        <rFont val="Calibri"/>
        <family val="2"/>
      </rPr>
      <t xml:space="preserve"> (nem, ens. César)</t>
    </r>
  </si>
  <si>
    <r>
      <t xml:space="preserve">Lechuga </t>
    </r>
    <r>
      <rPr>
        <b/>
        <sz val="24"/>
        <rFont val="Calibri"/>
        <family val="2"/>
      </rPr>
      <t>escarola</t>
    </r>
    <r>
      <rPr>
        <sz val="24"/>
        <rFont val="Calibri"/>
        <family val="2"/>
      </rPr>
      <t xml:space="preserve"> (bento, donkatsu)</t>
    </r>
  </si>
  <si>
    <r>
      <t xml:space="preserve">Lechuga </t>
    </r>
    <r>
      <rPr>
        <b/>
        <u/>
        <sz val="24"/>
        <rFont val="Calibri"/>
        <family val="2"/>
      </rPr>
      <t>crespa</t>
    </r>
    <r>
      <rPr>
        <sz val="24"/>
        <rFont val="Calibri"/>
        <family val="2"/>
      </rPr>
      <t xml:space="preserve"> hidro. verde (ebi bowl, decor.)</t>
    </r>
  </si>
  <si>
    <t>JUEVES (emerg.)</t>
  </si>
  <si>
    <t xml:space="preserve">LUNES </t>
  </si>
  <si>
    <t>ARIZTÍA                                                             (para martes)</t>
  </si>
  <si>
    <t>ARIZTÍA                                                           (para jueves)</t>
  </si>
  <si>
    <t>ABASTIBLE                                                        (para próx. martes)</t>
  </si>
  <si>
    <t>AVÍCOLA UGALDE                                        (para próximo lunes)</t>
  </si>
  <si>
    <t>BIDFOOD                                                         (para próximo martes)</t>
  </si>
  <si>
    <t>HORA TOPE                       envío inventario</t>
  </si>
  <si>
    <t>Servilletas abolengo o magiklin mini (40paq. 50u.)</t>
  </si>
  <si>
    <t>NATY COMPRAS WEB Y STGO.</t>
  </si>
  <si>
    <t>INSUMOS ASIÁTICOS</t>
  </si>
  <si>
    <t>TÉS E INFUSIONES</t>
  </si>
  <si>
    <t xml:space="preserve"> </t>
  </si>
  <si>
    <t>MINUTO VERDE                                           ( para viernes) - 1 VEZ</t>
  </si>
  <si>
    <t>CCU                                                                           (para viernes)</t>
  </si>
  <si>
    <t>COCA-COLA                                            (bebidas - para sábado)</t>
  </si>
  <si>
    <t>COCA-COLA                                            (licores - para sábado)</t>
  </si>
  <si>
    <t>DÍA RECEPCIÓN HABITUAL</t>
  </si>
  <si>
    <t>RELATIVO</t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</si>
  <si>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:wsp Dani</t>
    </r>
  </si>
  <si>
    <t>INVENT.</t>
  </si>
  <si>
    <r>
      <rPr>
        <b/>
        <u/>
        <sz val="12"/>
        <color rgb="FF000000"/>
        <rFont val="Calibri"/>
        <family val="2"/>
      </rPr>
      <t>Palito</t>
    </r>
    <r>
      <rPr>
        <sz val="12"/>
        <color rgb="FF000000"/>
        <rFont val="Calibri"/>
        <family val="2"/>
      </rPr>
      <t xml:space="preserve"> sushi </t>
    </r>
    <r>
      <rPr>
        <b/>
        <u/>
        <sz val="12"/>
        <color rgb="FF000000"/>
        <rFont val="Calibri"/>
        <family val="2"/>
      </rPr>
      <t>VERDE</t>
    </r>
    <r>
      <rPr>
        <sz val="12"/>
        <color rgb="FF000000"/>
        <rFont val="Calibri"/>
        <family val="2"/>
      </rPr>
      <t xml:space="preserve"> (paq. 100u) (</t>
    </r>
    <r>
      <rPr>
        <b/>
        <sz val="12"/>
        <color rgb="FF000000"/>
        <rFont val="Calibri"/>
        <family val="2"/>
      </rPr>
      <t>calidad color</t>
    </r>
    <r>
      <rPr>
        <sz val="12"/>
        <color rgb="FF000000"/>
        <rFont val="Calibri"/>
        <family val="2"/>
      </rPr>
      <t>)</t>
    </r>
  </si>
  <si>
    <t>Pulpa de Maracuyá con pepas (sólo guallarauco)</t>
  </si>
  <si>
    <t>RENDERING ACEITE</t>
  </si>
  <si>
    <t>Wakame (Seaweed salad) congelado</t>
  </si>
  <si>
    <r>
      <t xml:space="preserve">INSUMOS ASIÁTICOS                                                 </t>
    </r>
    <r>
      <rPr>
        <sz val="12"/>
        <color rgb="FF000000"/>
        <rFont val="Calibri"/>
        <family val="2"/>
      </rPr>
      <t>(cheque a 7 días)</t>
    </r>
  </si>
  <si>
    <t>CHEQUES</t>
  </si>
  <si>
    <t>NÚMERO</t>
  </si>
  <si>
    <t>DÍA RECIBIDO</t>
  </si>
  <si>
    <t>PROVEEDOR</t>
  </si>
  <si>
    <t>DÍA RECBIDO</t>
  </si>
  <si>
    <t>BOLSAS DINERO PARA APERTURA</t>
  </si>
  <si>
    <t>BOLSAS DINERO SOBRANTES</t>
  </si>
  <si>
    <t>FECHA PARA USAR</t>
  </si>
  <si>
    <t>FECHA USADA</t>
  </si>
  <si>
    <t>DÍA ENTREGADO</t>
  </si>
  <si>
    <t>FIRMA BODEGA</t>
  </si>
  <si>
    <t>FIRMA RETIRO</t>
  </si>
  <si>
    <t>FIRMA ENTREGA</t>
  </si>
  <si>
    <t>ORDEN Y LIMPIEZA</t>
  </si>
  <si>
    <t>BARRIDO Y TRAPEADO                 PISO B1 Y B2</t>
  </si>
  <si>
    <t>ORDEN INTERIOR CONGELADORAS B1 Y B2</t>
  </si>
  <si>
    <t>ASEO SUPERF. ARRIBA CONGELADORAS B1 Y B2</t>
  </si>
  <si>
    <t>HORA TOPE</t>
  </si>
  <si>
    <t>INVENTARIO</t>
  </si>
  <si>
    <t>S</t>
  </si>
  <si>
    <t>ARIZTÍA / AGROSUPER</t>
  </si>
  <si>
    <t>RENDERING (ACEITE RECICL.)</t>
  </si>
  <si>
    <t>ALEJANDRA                          (revisión para jueves)</t>
  </si>
  <si>
    <t>ABASTIBLE</t>
  </si>
  <si>
    <t>BIDFOOD                                                          (próx. martes)</t>
  </si>
  <si>
    <t>SUPERMERCADO Y OTROS</t>
  </si>
  <si>
    <t>BOLSAS BASURA</t>
  </si>
  <si>
    <t>COCA-COLA pulpas                     (emerg. para sábado)</t>
  </si>
  <si>
    <t>COCA COLA pulpas                (próximo martes.)</t>
  </si>
  <si>
    <t>IMPRENTA</t>
  </si>
  <si>
    <t>ALEJANDRA</t>
  </si>
  <si>
    <t>NESPRESSO</t>
  </si>
  <si>
    <t>SÚPER UGALDE</t>
  </si>
  <si>
    <t>DEANDES PAC</t>
  </si>
  <si>
    <t>LOZA</t>
  </si>
  <si>
    <t>COCA COLA</t>
  </si>
  <si>
    <t>RECEPCIÓN</t>
  </si>
  <si>
    <t>PALTAS</t>
  </si>
  <si>
    <t>COCA-COLA bebidas</t>
  </si>
  <si>
    <t>E</t>
  </si>
  <si>
    <t>BID FOOD</t>
  </si>
  <si>
    <t>ARIZTÍA</t>
  </si>
  <si>
    <t>COCA-COLA alcohol</t>
  </si>
  <si>
    <t>COCA COLA pulpas (emerg.)</t>
  </si>
  <si>
    <t>ICB</t>
  </si>
  <si>
    <t>AGROSUPER</t>
  </si>
  <si>
    <t>RENDERING aceite                        (quincenal)</t>
  </si>
  <si>
    <t>QUIERO HIELO                                (emerg.)</t>
  </si>
  <si>
    <t>MR. FOX</t>
  </si>
  <si>
    <t>COCA-COLA pulpas</t>
  </si>
  <si>
    <t>BODEGA PRINCIPAL</t>
  </si>
  <si>
    <t>B1</t>
  </si>
  <si>
    <t>SÍ ESTA SEMANA</t>
  </si>
  <si>
    <t>BODEGA BAR</t>
  </si>
  <si>
    <t>B2</t>
  </si>
  <si>
    <t>NO ESTA SEMANA</t>
  </si>
  <si>
    <t>EXCEPCIÓN</t>
  </si>
  <si>
    <t>ORDEN CAJAS PALTA                             (IR DEVOLVIÉNDOLAS)</t>
  </si>
  <si>
    <t>ENVÍO FOTO PLANILLA CHEQUES Y DINEROS</t>
  </si>
  <si>
    <t>LIMPIEZA INTERIOR  VISICOOLERS  B1 Y B2</t>
  </si>
  <si>
    <t>ASEO SUPERF. ARRIBA CONGELADORAS</t>
  </si>
  <si>
    <t>BARRIDO Y TRAPEADO                     BAJO CONGELADORAS</t>
  </si>
  <si>
    <t>ASEO SUPERF.COSTADO CONGELADORAS</t>
  </si>
  <si>
    <t xml:space="preserve"> VIERNES (emerg.)</t>
  </si>
  <si>
    <t>COCA-COLA                                        (pulpas - para martes</t>
  </si>
  <si>
    <t>CCU (emerg.)</t>
  </si>
  <si>
    <t>ARIZTÍA  (emerg. Sábado)</t>
  </si>
  <si>
    <t>AGROSUPER (para viernes)</t>
  </si>
  <si>
    <t>cocina y bod.</t>
  </si>
  <si>
    <t>ALEJANDRA (para jueves)                               PROVISORIO</t>
  </si>
  <si>
    <t>Cazuela vacuno (ramen)</t>
  </si>
  <si>
    <t>Patas de cerdo (ramen)</t>
  </si>
  <si>
    <t>Garras pollo (ramen)</t>
  </si>
  <si>
    <t>MAR</t>
  </si>
  <si>
    <t>cocina y sushi</t>
  </si>
  <si>
    <t>Aliño jengibre en polvo</t>
  </si>
  <si>
    <t>Camarón ecuat. MEDIUM MIX desv., cocido, pelado</t>
  </si>
  <si>
    <t>bandejas</t>
  </si>
  <si>
    <r>
      <t xml:space="preserve">Salmón </t>
    </r>
    <r>
      <rPr>
        <b/>
        <sz val="12"/>
        <color rgb="FF000000"/>
        <rFont val="Calibri"/>
        <family val="2"/>
      </rPr>
      <t>LOMO</t>
    </r>
    <r>
      <rPr>
        <sz val="12"/>
        <color rgb="FF000000"/>
        <rFont val="Calibri"/>
        <family val="2"/>
      </rPr>
      <t xml:space="preserve">  fresco porcionado</t>
    </r>
  </si>
  <si>
    <r>
      <t xml:space="preserve">Salmón </t>
    </r>
    <r>
      <rPr>
        <b/>
        <sz val="12"/>
        <color rgb="FF000000"/>
        <rFont val="Calibri"/>
        <family val="2"/>
      </rPr>
      <t>GUATA</t>
    </r>
    <r>
      <rPr>
        <sz val="12"/>
        <color rgb="FF000000"/>
        <rFont val="Calibri"/>
        <family val="2"/>
      </rPr>
      <t xml:space="preserve"> fresco porcionado (cubos grandes)</t>
    </r>
  </si>
  <si>
    <r>
      <t xml:space="preserve">Salmón </t>
    </r>
    <r>
      <rPr>
        <b/>
        <sz val="12"/>
        <color rgb="FF000000"/>
        <rFont val="Calibri"/>
        <family val="2"/>
      </rPr>
      <t>PLAQUETA</t>
    </r>
    <r>
      <rPr>
        <sz val="12"/>
        <color rgb="FF000000"/>
        <rFont val="Calibri"/>
        <family val="2"/>
      </rPr>
      <t xml:space="preserve"> fresco porcionado</t>
    </r>
  </si>
  <si>
    <t>Salmón picado cubitos</t>
  </si>
  <si>
    <t>cajas plásticas</t>
  </si>
  <si>
    <t>Papas fritas porcionadas (bolsas pequeñas)</t>
  </si>
  <si>
    <t>ACTIVIDADES BODEGA - SANTA MARÍA</t>
  </si>
  <si>
    <t>Pulpa de Naranja (solo guallarauco)</t>
  </si>
  <si>
    <t>ALEJANDRA (para jueves)               PROVIS.  (+ colac. prx. sem)</t>
  </si>
  <si>
    <t>NOMBRE CARTA</t>
  </si>
  <si>
    <t>Infusión - After Eight</t>
  </si>
  <si>
    <t>Infusión - Berry hibiscus</t>
  </si>
  <si>
    <t>Infusión - Golden Lemongrass</t>
  </si>
  <si>
    <t>Té blanco - White bloom</t>
  </si>
  <si>
    <t>Té verde - Asian green</t>
  </si>
  <si>
    <t>Té azul - Oolong citrus</t>
  </si>
  <si>
    <t>Té negro - Chai dedicado</t>
  </si>
  <si>
    <t>Té negro - Orange cacao</t>
  </si>
  <si>
    <t>Té negro - Hibiscus black</t>
  </si>
  <si>
    <t>Té negro - Apricot sunset</t>
  </si>
  <si>
    <t>Té negro - Earl grey plus</t>
  </si>
  <si>
    <t>Cacao menta</t>
  </si>
  <si>
    <t>Frescor de primavera</t>
  </si>
  <si>
    <t>Sweet home</t>
  </si>
  <si>
    <t>Flower green</t>
  </si>
  <si>
    <t>Green intense</t>
  </si>
  <si>
    <t>Oolong citrus</t>
  </si>
  <si>
    <t>Chai dedicado</t>
  </si>
  <si>
    <t>Chocolate naranja</t>
  </si>
  <si>
    <t>Rouge</t>
  </si>
  <si>
    <t>Oriente dulce</t>
  </si>
  <si>
    <t>Bermelon negro</t>
  </si>
  <si>
    <t>NOMBRE ORIGINAL</t>
  </si>
  <si>
    <t>STOCK</t>
  </si>
  <si>
    <t>TÉS  DANI (pqtes. 200grs)</t>
  </si>
  <si>
    <t>Fideo ramen fresco (180grs - cajas de 30u.)</t>
  </si>
  <si>
    <t>Fideo udón fresco (caja 15 x 4y.)</t>
  </si>
  <si>
    <t>malla 10k</t>
  </si>
  <si>
    <t>DEANDESPAC</t>
  </si>
  <si>
    <t>LIMPIEZA HIELO 1 CONGELADORA B1 Y B2</t>
  </si>
  <si>
    <t>Fideos celofán</t>
  </si>
  <si>
    <t>Condimento - trufa</t>
  </si>
  <si>
    <t>Condimento - Furikake (soja vegetales)</t>
  </si>
  <si>
    <t>Condimentos - 13 sabores</t>
  </si>
  <si>
    <t>Fideos arroz thai</t>
  </si>
  <si>
    <t>Papel de arroz 16 cms - nems</t>
  </si>
  <si>
    <t>Pasta gochujang</t>
  </si>
  <si>
    <t>Pasta de ajo negro</t>
  </si>
  <si>
    <t>Salsa de pescado</t>
  </si>
  <si>
    <t>Salsa picante para marinar pollo</t>
  </si>
  <si>
    <t>Salsa picante para topokki</t>
  </si>
  <si>
    <t>Salsa de ostras (mama)</t>
  </si>
  <si>
    <t>Fideos guan miao</t>
  </si>
  <si>
    <t>Hongos secos</t>
  </si>
  <si>
    <t>Papel de arroz (real thai) diámetro?</t>
  </si>
  <si>
    <t>248 g</t>
  </si>
  <si>
    <t>0,5 g</t>
  </si>
  <si>
    <t>45 g</t>
  </si>
  <si>
    <t>300 g</t>
  </si>
  <si>
    <t>500 g</t>
  </si>
  <si>
    <t>375 g</t>
  </si>
  <si>
    <t>200 g</t>
  </si>
  <si>
    <t>100 g</t>
  </si>
  <si>
    <t>1 kg</t>
  </si>
  <si>
    <t>110 g</t>
  </si>
  <si>
    <t>700 ml</t>
  </si>
  <si>
    <t>1,2 kg</t>
  </si>
  <si>
    <t>669 g</t>
  </si>
  <si>
    <t>230 g</t>
  </si>
  <si>
    <t>1,5 kg</t>
  </si>
  <si>
    <t>Wakame deshidratado (seco)</t>
  </si>
  <si>
    <t>Azafrán</t>
  </si>
  <si>
    <t>Fideos arroz fino vermicelli (decoración?)</t>
  </si>
  <si>
    <t>Maní sin sal</t>
  </si>
  <si>
    <t>Salsa de sésamo (ensalada?)</t>
  </si>
  <si>
    <t>Pastel de pescado (fish cake frozen pre-fried)</t>
  </si>
  <si>
    <t>Pan vapor blanco</t>
  </si>
  <si>
    <t>Pasta de poroto negro</t>
  </si>
  <si>
    <t>Queso rallado fino</t>
  </si>
  <si>
    <t>Salsa césar (creamy cesar)</t>
  </si>
  <si>
    <t>3,79 L</t>
  </si>
  <si>
    <t>2 kg</t>
  </si>
  <si>
    <t>800 g</t>
  </si>
  <si>
    <t>900 g</t>
  </si>
  <si>
    <t>Fideos U dong (frozen noodle)</t>
  </si>
  <si>
    <t>820 g</t>
  </si>
  <si>
    <t>380 ml</t>
  </si>
  <si>
    <t>Pasta Ssamjang sempio</t>
  </si>
  <si>
    <r>
      <t xml:space="preserve">Tteok (tubos de arroz) - </t>
    </r>
    <r>
      <rPr>
        <b/>
        <sz val="12"/>
        <color rgb="FF000000"/>
        <rFont val="Calibri"/>
        <family val="2"/>
      </rPr>
      <t>CONGELADO</t>
    </r>
  </si>
  <si>
    <r>
      <t xml:space="preserve">Mandú de cerdo (gyozas largas) - </t>
    </r>
    <r>
      <rPr>
        <b/>
        <sz val="12"/>
        <color rgb="FF000000"/>
        <rFont val="Calibri"/>
        <family val="2"/>
      </rPr>
      <t>CONGELADO</t>
    </r>
  </si>
  <si>
    <t>Tinta sepia (calamar)</t>
  </si>
  <si>
    <t>Caldo congelado ramen vacuno (cazuela vac. y patas de cerdo)</t>
  </si>
  <si>
    <t>Caldo congelado ramen mariscos (surtido premium?)</t>
  </si>
  <si>
    <t>Caldo congelado ramen pollo (garras pollo)</t>
  </si>
  <si>
    <r>
      <t xml:space="preserve">Aliño </t>
    </r>
    <r>
      <rPr>
        <b/>
        <sz val="12"/>
        <color rgb="FF000000"/>
        <rFont val="Calibri"/>
        <family val="2"/>
      </rPr>
      <t>COMINO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MOLIDO</t>
    </r>
  </si>
  <si>
    <t>Pasta de trufa</t>
  </si>
  <si>
    <t>Pistacho esencia (postre)</t>
  </si>
  <si>
    <t xml:space="preserve">Pistacho mantequilla (pasta o crema) (ceviche y postre) </t>
  </si>
  <si>
    <t>Pistacho entero sin cáscara (praliné postre y tiradito)</t>
  </si>
  <si>
    <t>ELIMINAR</t>
  </si>
  <si>
    <t>Coco escencia</t>
  </si>
  <si>
    <t>Syrup - Giffard Watermelon (sandía)(pasteque)</t>
  </si>
  <si>
    <t>Sin alcohol - Espumante Undurraga Alcohol Free (o Viña Mar zero)</t>
  </si>
  <si>
    <t>MINUTO VERDE                             (para viernes 1 VEZ)</t>
  </si>
  <si>
    <t>Gelatina en polvo</t>
  </si>
  <si>
    <t>Lysoform SPRAY</t>
  </si>
  <si>
    <t>OK</t>
  </si>
  <si>
    <t>ok</t>
  </si>
  <si>
    <t>Churrasco vacuno 120gr flow pack 50x105</t>
  </si>
  <si>
    <t>caja 5,25k</t>
  </si>
  <si>
    <t>no tiene</t>
  </si>
  <si>
    <t>Pulpa de Arándano (minuto verde o guallar.)</t>
  </si>
  <si>
    <t>tiempo aprox al día</t>
  </si>
  <si>
    <t>tiempo aprox. área</t>
  </si>
  <si>
    <t>Surtido de mariscos premium (RAMEN)</t>
  </si>
  <si>
    <t>COLACIÓN Y OTROS</t>
  </si>
  <si>
    <r>
      <rPr>
        <b/>
        <sz val="12"/>
        <color rgb="FF000000"/>
        <rFont val="Calibri"/>
        <family val="2"/>
      </rPr>
      <t>PEDIR</t>
    </r>
    <r>
      <rPr>
        <sz val="12"/>
        <color rgb="FF000000"/>
        <rFont val="Calibri"/>
        <family val="2"/>
      </rPr>
      <t>:</t>
    </r>
  </si>
  <si>
    <r>
      <rPr>
        <b/>
        <sz val="12"/>
        <color rgb="FF000000"/>
        <rFont val="Calibri"/>
        <family val="2"/>
      </rPr>
      <t>PEDIDO</t>
    </r>
    <r>
      <rPr>
        <sz val="12"/>
        <color rgb="FF000000"/>
        <rFont val="Calibri"/>
        <family val="2"/>
      </rPr>
      <t>:</t>
    </r>
  </si>
  <si>
    <t>porcionado</t>
  </si>
  <si>
    <t>Jamón cocido</t>
  </si>
  <si>
    <t>PEDIR para LUNES... 4 matas si hay 10 o menos bolsitas congeladas</t>
  </si>
  <si>
    <t>Revisar bidones en refris… 1 bidón (5L) = 15kg aprox.</t>
  </si>
  <si>
    <t>Revisar congelador bodega: pedir de 2 a 5 (para NEM y plaquetas)</t>
  </si>
  <si>
    <t>5*</t>
  </si>
  <si>
    <t xml:space="preserve">* ALBAHACA:                   </t>
  </si>
  <si>
    <t xml:space="preserve">* CILANTRO:                    </t>
  </si>
  <si>
    <t>* LIMÓN:</t>
  </si>
  <si>
    <t>* MANGO:</t>
  </si>
  <si>
    <t>90 *</t>
  </si>
  <si>
    <t xml:space="preserve"> Pedro +56982078001</t>
  </si>
  <si>
    <r>
      <rPr>
        <b/>
        <sz val="12"/>
        <color rgb="FF000000"/>
        <rFont val="Calibri"/>
        <family val="2"/>
      </rPr>
      <t xml:space="preserve">PEDIDO: </t>
    </r>
    <r>
      <rPr>
        <sz val="12"/>
        <color rgb="FF000000"/>
        <rFont val="Calibri"/>
        <family val="2"/>
      </rPr>
      <t>supermercadougalde71@gmail.com</t>
    </r>
  </si>
  <si>
    <t>72paq.x250u.</t>
  </si>
  <si>
    <t>Tortilla Burrito pancho villa (XL en Líder)</t>
  </si>
  <si>
    <t>Fideos tipo maruchán (sopa ramen) (MercLib caja 28u.)</t>
  </si>
  <si>
    <t>8 pqtes.</t>
  </si>
  <si>
    <t>Mora entera IQF (postre)</t>
  </si>
  <si>
    <t>Harina sin polvos (por manga 10k)</t>
  </si>
  <si>
    <t>SIN STOCK</t>
  </si>
  <si>
    <t>consultar cocina</t>
  </si>
  <si>
    <t>paquetitos</t>
  </si>
  <si>
    <t>Tocino ahumado</t>
  </si>
  <si>
    <t>Reineta nacional filete s/piel (ver precio Sea Garden)</t>
  </si>
  <si>
    <t>Salmón ahumado laminado (perfect slice)</t>
  </si>
  <si>
    <t xml:space="preserve">Cerdo pulpa repasada </t>
  </si>
  <si>
    <t>caja 20k?</t>
  </si>
  <si>
    <t>Cerdo lomo centro</t>
  </si>
  <si>
    <t>MARTES Y VIERNES</t>
  </si>
  <si>
    <t>Pollo trutro entero</t>
  </si>
  <si>
    <t>Cerdo pulpa porcionado</t>
  </si>
  <si>
    <t>Cerdo lomo centro porcionado (para ramen)</t>
  </si>
  <si>
    <t>5K</t>
  </si>
  <si>
    <t>20K</t>
  </si>
  <si>
    <t>16K</t>
  </si>
  <si>
    <t>4K</t>
  </si>
  <si>
    <t>NO, SE CORTA</t>
  </si>
  <si>
    <t>1 BIDON</t>
  </si>
  <si>
    <t>2?</t>
  </si>
  <si>
    <t>4?</t>
  </si>
  <si>
    <t>1?</t>
  </si>
  <si>
    <t>3?</t>
  </si>
  <si>
    <t>udón macán</t>
  </si>
  <si>
    <t>6?</t>
  </si>
  <si>
    <t>macán</t>
  </si>
  <si>
    <t>EMERG</t>
  </si>
  <si>
    <t>saco 25x10u.</t>
  </si>
  <si>
    <t>36K</t>
  </si>
  <si>
    <t>84K</t>
  </si>
  <si>
    <t>MINUTO VERDE                                                   (1 vez a la semana)</t>
  </si>
  <si>
    <t xml:space="preserve">Filete </t>
  </si>
  <si>
    <t>TÉS</t>
  </si>
  <si>
    <t>BOLSAS DE BASURA</t>
  </si>
  <si>
    <t>s</t>
  </si>
  <si>
    <t>MIEL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</si>
</sst>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 &quot;$&quot;* #,##0_ ;_ &quot;$&quot;* \-#,##0_ ;_ &quot;$&quot;* &quot;-&quot;_ ;_ @_ "/>
    <numFmt numFmtId="164" formatCode="_-&quot;$&quot;* #,##0.00_-;\-&quot;$&quot;* #,##0.00_-;_-&quot;$&quot;* &quot;-&quot;??_-;_-@_-"/>
    <numFmt numFmtId="165" formatCode="&quot;$&quot;#,##0"/>
    <numFmt numFmtId="166" formatCode="_ &quot;$&quot;* #,##0.0_ ;_ &quot;$&quot;* \-#,##0.0_ ;_ &quot;$&quot;* &quot;-&quot;_ ;_ @_ "/>
    <numFmt numFmtId="167" formatCode="_-&quot;$&quot;* #,##0_-;\-&quot;$&quot;* #,##0_-;_-&quot;$&quot;* &quot;-&quot;??_-;_-@_-"/>
    <numFmt numFmtId="168" formatCode="dd/mm/yy;@"/>
    <numFmt numFmtId="169" formatCode="[$-F400]h:mm:ss\ AM/PM"/>
  </numFmts>
  <fonts count="82">
    <font>
      <sz val="11"/>
      <color rgb="FF000000"/>
      <name val="Calibri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2"/>
      <color rgb="FF000000"/>
      <name val="Calibri"/>
      <family val="2"/>
    </font>
    <font>
      <b/>
      <sz val="18"/>
      <color rgb="FF000000"/>
      <name val="Calibri"/>
      <family val="2"/>
    </font>
    <font>
      <b/>
      <sz val="20"/>
      <color rgb="FF000000"/>
      <name val="Calibri"/>
      <family val="2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22"/>
      <color rgb="FF000000"/>
      <name val="Calibri"/>
      <family val="2"/>
    </font>
    <font>
      <b/>
      <sz val="36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</font>
    <font>
      <sz val="12"/>
      <name val="Calibri"/>
      <family val="2"/>
    </font>
    <font>
      <sz val="12"/>
      <color rgb="FF2D3338"/>
      <name val="Roboto-reg"/>
    </font>
    <font>
      <sz val="11"/>
      <color rgb="FF000000"/>
      <name val="Calibri"/>
      <family val="2"/>
    </font>
    <font>
      <b/>
      <sz val="25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48"/>
      <color rgb="FF000000"/>
      <name val="Calibri"/>
      <family val="2"/>
    </font>
    <font>
      <b/>
      <sz val="26"/>
      <color rgb="FF000000"/>
      <name val="Calibri"/>
      <family val="2"/>
    </font>
    <font>
      <u/>
      <sz val="12"/>
      <color rgb="FF000000"/>
      <name val="Calibri"/>
      <family val="2"/>
    </font>
    <font>
      <b/>
      <sz val="16"/>
      <name val="Calibri"/>
      <family val="2"/>
    </font>
    <font>
      <b/>
      <u/>
      <sz val="24"/>
      <color rgb="FF000000"/>
      <name val="Calibri"/>
      <family val="2"/>
    </font>
    <font>
      <b/>
      <u/>
      <sz val="26"/>
      <color rgb="FF000000"/>
      <name val="Calibri"/>
      <family val="2"/>
    </font>
    <font>
      <b/>
      <sz val="24"/>
      <color rgb="FF000000"/>
      <name val="Calibri"/>
      <family val="2"/>
    </font>
    <font>
      <sz val="24"/>
      <color rgb="FF000000"/>
      <name val="Calibri"/>
      <family val="2"/>
    </font>
    <font>
      <sz val="26"/>
      <color rgb="FF000000"/>
      <name val="Calibri"/>
      <family val="2"/>
    </font>
    <font>
      <b/>
      <sz val="28"/>
      <color rgb="FF000000"/>
      <name val="Calibri"/>
      <family val="2"/>
    </font>
    <font>
      <sz val="24"/>
      <name val="Calibri"/>
      <family val="2"/>
    </font>
    <font>
      <b/>
      <sz val="24"/>
      <name val="Calibri"/>
      <family val="2"/>
    </font>
    <font>
      <b/>
      <i/>
      <sz val="24"/>
      <name val="Calibri"/>
      <family val="2"/>
    </font>
    <font>
      <b/>
      <i/>
      <u/>
      <sz val="24"/>
      <name val="Calibri"/>
      <family val="2"/>
    </font>
    <font>
      <b/>
      <u/>
      <sz val="24"/>
      <name val="Calibri"/>
      <family val="2"/>
    </font>
    <font>
      <b/>
      <sz val="14"/>
      <name val="Calibri"/>
      <family val="2"/>
    </font>
    <font>
      <sz val="26"/>
      <name val="Calibri"/>
      <family val="2"/>
    </font>
    <font>
      <b/>
      <u/>
      <sz val="16"/>
      <color rgb="FF000000"/>
      <name val="Calibri"/>
      <family val="2"/>
    </font>
    <font>
      <b/>
      <sz val="24"/>
      <color theme="0"/>
      <name val="Calibri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b/>
      <i/>
      <sz val="24"/>
      <color rgb="FF000000"/>
      <name val="Calibri"/>
      <family val="2"/>
    </font>
    <font>
      <sz val="8"/>
      <name val="Calibri"/>
      <family val="2"/>
    </font>
    <font>
      <b/>
      <sz val="10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7"/>
      <color theme="1"/>
      <name val="Calibri"/>
      <family val="2"/>
      <scheme val="minor"/>
    </font>
    <font>
      <b/>
      <sz val="17"/>
      <color rgb="FF000000"/>
      <name val="Calibri"/>
      <family val="2"/>
    </font>
    <font>
      <b/>
      <sz val="15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36"/>
      <color theme="0"/>
      <name val="Calibri"/>
      <family val="2"/>
    </font>
    <font>
      <b/>
      <sz val="16"/>
      <color theme="0"/>
      <name val="Calibri"/>
      <family val="2"/>
    </font>
    <font>
      <b/>
      <sz val="14"/>
      <color theme="0"/>
      <name val="Calibri"/>
      <family val="2"/>
    </font>
    <font>
      <b/>
      <sz val="12"/>
      <color rgb="FFFF0000"/>
      <name val="Calibri"/>
      <family val="2"/>
    </font>
    <font>
      <sz val="24"/>
      <color theme="0"/>
      <name val="Calibri"/>
      <family val="2"/>
    </font>
    <font>
      <b/>
      <sz val="28"/>
      <color theme="0"/>
      <name val="Calibri"/>
      <family val="2"/>
    </font>
    <font>
      <b/>
      <sz val="30"/>
      <color theme="0"/>
      <name val="Calibri"/>
      <family val="2"/>
    </font>
    <font>
      <b/>
      <sz val="20"/>
      <color theme="0"/>
      <name val="Calibri"/>
      <family val="2"/>
    </font>
    <font>
      <sz val="26"/>
      <color theme="0"/>
      <name val="Calibri"/>
      <family val="2"/>
    </font>
    <font>
      <b/>
      <sz val="26"/>
      <color theme="0"/>
      <name val="Calibri"/>
      <family val="2"/>
    </font>
    <font>
      <b/>
      <sz val="17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sz val="17"/>
      <color rgb="FF000000"/>
      <name val="Calibri"/>
      <family val="2"/>
    </font>
    <font>
      <sz val="16"/>
      <color rgb="FF000000"/>
      <name val="Calibri"/>
      <family val="2"/>
    </font>
    <font>
      <b/>
      <sz val="10"/>
      <color rgb="FF000000"/>
      <name val="Calibri"/>
      <family val="2"/>
    </font>
    <font>
      <b/>
      <sz val="48"/>
      <color theme="0"/>
      <name val="Calibri"/>
      <family val="2"/>
    </font>
    <font>
      <b/>
      <sz val="22"/>
      <color theme="0"/>
      <name val="Calibri"/>
      <family val="2"/>
    </font>
    <font>
      <sz val="12"/>
      <color theme="1"/>
      <name val="Calibri"/>
      <family val="2"/>
    </font>
    <font>
      <b/>
      <sz val="26"/>
      <name val="Calibri"/>
      <family val="2"/>
    </font>
  </fonts>
  <fills count="8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F9FB97"/>
        <bgColor rgb="FFF9FB97"/>
      </patternFill>
    </fill>
    <fill>
      <patternFill patternType="solid">
        <fgColor rgb="FFE1E9F3"/>
        <bgColor rgb="FFE1E9F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E1E9F3"/>
        <bgColor indexed="64"/>
      </patternFill>
    </fill>
    <fill>
      <patternFill patternType="solid">
        <fgColor theme="0"/>
        <bgColor rgb="FFE1E9F3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rgb="FFE1E9F3"/>
        <bgColor rgb="FFFFFFFF"/>
      </patternFill>
    </fill>
    <fill>
      <patternFill patternType="solid">
        <fgColor rgb="FFFFFF99"/>
        <bgColor rgb="FFFFFF00"/>
      </patternFill>
    </fill>
    <fill>
      <patternFill patternType="solid">
        <fgColor rgb="FFFFFF99"/>
        <bgColor rgb="FF98FA9D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rgb="FFE1E9F3"/>
      </patternFill>
    </fill>
    <fill>
      <patternFill patternType="solid">
        <fgColor rgb="FFE1E9F3"/>
        <bgColor rgb="FFDBE5F1"/>
      </patternFill>
    </fill>
    <fill>
      <patternFill patternType="solid">
        <fgColor rgb="FFFEC7BE"/>
        <bgColor indexed="64"/>
      </patternFill>
    </fill>
    <fill>
      <patternFill patternType="solid">
        <fgColor rgb="FFFEC7BE"/>
        <bgColor rgb="FFE1E9F3"/>
      </patternFill>
    </fill>
    <fill>
      <patternFill patternType="solid">
        <fgColor rgb="FFADFA86"/>
        <bgColor indexed="64"/>
      </patternFill>
    </fill>
    <fill>
      <patternFill patternType="solid">
        <fgColor rgb="FFADFA86"/>
        <bgColor rgb="FF6DD6EF"/>
      </patternFill>
    </fill>
    <fill>
      <patternFill patternType="solid">
        <fgColor rgb="FFADFA86"/>
        <bgColor rgb="FFFFFFFF"/>
      </patternFill>
    </fill>
    <fill>
      <patternFill patternType="solid">
        <fgColor rgb="FFE1E9F3"/>
        <bgColor rgb="FF8BF990"/>
      </patternFill>
    </fill>
    <fill>
      <patternFill patternType="solid">
        <fgColor rgb="FFADFA86"/>
        <bgColor rgb="FF98FA9D"/>
      </patternFill>
    </fill>
    <fill>
      <patternFill patternType="solid">
        <fgColor rgb="FFADFA86"/>
        <bgColor rgb="FFE1E9F3"/>
      </patternFill>
    </fill>
    <fill>
      <patternFill patternType="solid">
        <fgColor rgb="FFFEC6B4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EC6B4"/>
        <bgColor rgb="FFFFFFFF"/>
      </patternFill>
    </fill>
    <fill>
      <patternFill patternType="solid">
        <fgColor rgb="FFFEC6B4"/>
        <bgColor rgb="FFE1E9F3"/>
      </patternFill>
    </fill>
    <fill>
      <patternFill patternType="solid">
        <fgColor rgb="FFFEC7BE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B97"/>
        <bgColor indexed="64"/>
      </patternFill>
    </fill>
    <fill>
      <patternFill patternType="solid">
        <fgColor rgb="FFADFA86"/>
        <bgColor rgb="FFF9FB97"/>
      </patternFill>
    </fill>
    <fill>
      <patternFill patternType="solid">
        <fgColor rgb="FFFFFF99"/>
        <bgColor rgb="FF6DD6EF"/>
      </patternFill>
    </fill>
    <fill>
      <patternFill patternType="solid">
        <fgColor rgb="FFFFCB97"/>
        <bgColor rgb="FF6DD6EF"/>
      </patternFill>
    </fill>
    <fill>
      <patternFill patternType="solid">
        <fgColor rgb="FFFFC000"/>
        <bgColor rgb="FFFFFF00"/>
      </patternFill>
    </fill>
    <fill>
      <patternFill patternType="solid">
        <fgColor theme="4" tint="0.79998168889431442"/>
        <bgColor rgb="FFE1E9F3"/>
      </patternFill>
    </fill>
    <fill>
      <patternFill patternType="solid">
        <fgColor rgb="FFFFFF99"/>
        <bgColor rgb="FFDBE5F1"/>
      </patternFill>
    </fill>
    <fill>
      <patternFill patternType="solid">
        <fgColor rgb="FFFFFF99"/>
        <bgColor rgb="FFFFFFFF"/>
      </patternFill>
    </fill>
    <fill>
      <patternFill patternType="solid">
        <fgColor rgb="FFFFFF99"/>
        <bgColor rgb="FFB8CCE4"/>
      </patternFill>
    </fill>
    <fill>
      <patternFill patternType="solid">
        <fgColor rgb="FFABF3F7"/>
        <bgColor indexed="64"/>
      </patternFill>
    </fill>
    <fill>
      <patternFill patternType="solid">
        <fgColor rgb="FFABF3F7"/>
        <bgColor rgb="FFFFFFFF"/>
      </patternFill>
    </fill>
    <fill>
      <patternFill patternType="solid">
        <fgColor rgb="FFABF3F7"/>
        <bgColor rgb="FFE1E9F3"/>
      </patternFill>
    </fill>
    <fill>
      <patternFill patternType="solid">
        <fgColor rgb="FFABF3F7"/>
        <bgColor rgb="FFB8CCE4"/>
      </patternFill>
    </fill>
    <fill>
      <patternFill patternType="solid">
        <fgColor rgb="FFABF3F7"/>
        <bgColor rgb="FFF9FB97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DFA86"/>
        <bgColor rgb="FFDBE5F1"/>
      </patternFill>
    </fill>
    <fill>
      <patternFill patternType="solid">
        <fgColor theme="0" tint="-0.14999847407452621"/>
        <bgColor rgb="FFE1E9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F9DF9"/>
        <bgColor indexed="64"/>
      </patternFill>
    </fill>
    <fill>
      <patternFill patternType="solid">
        <fgColor rgb="FFEAD0FE"/>
        <bgColor indexed="64"/>
      </patternFill>
    </fill>
    <fill>
      <patternFill patternType="solid">
        <fgColor rgb="FFFEE1BA"/>
        <bgColor indexed="64"/>
      </patternFill>
    </fill>
    <fill>
      <patternFill patternType="solid">
        <fgColor rgb="FFE5DBD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FE2EB"/>
        <bgColor indexed="64"/>
      </patternFill>
    </fill>
    <fill>
      <patternFill patternType="solid">
        <fgColor rgb="FFD8FFCF"/>
        <bgColor indexed="64"/>
      </patternFill>
    </fill>
    <fill>
      <patternFill patternType="solid">
        <fgColor rgb="FFBEECD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98FA9D"/>
      </patternFill>
    </fill>
    <fill>
      <patternFill patternType="solid">
        <fgColor rgb="FFFFFF99"/>
        <bgColor rgb="FFF9FB97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537C44"/>
        <bgColor indexed="64"/>
      </patternFill>
    </fill>
    <fill>
      <patternFill patternType="solid">
        <fgColor rgb="FF537C44"/>
        <bgColor rgb="FF98FA9D"/>
      </patternFill>
    </fill>
    <fill>
      <patternFill patternType="solid">
        <fgColor rgb="FF537C44"/>
        <bgColor rgb="FFFFFF00"/>
      </patternFill>
    </fill>
    <fill>
      <patternFill patternType="solid">
        <fgColor rgb="FFE6B8B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DFCB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DF69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79998168889431442"/>
        <bgColor rgb="FFE1E9F3"/>
      </patternFill>
    </fill>
  </fills>
  <borders count="26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50505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/>
      <diagonal/>
    </border>
  </borders>
  <cellStyleXfs count="5">
    <xf numFmtId="0" fontId="0" fillId="0" borderId="0"/>
    <xf numFmtId="42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24" fillId="0" borderId="0" applyFont="0" applyFill="0" applyBorder="0" applyAlignment="0" applyProtection="0"/>
  </cellStyleXfs>
  <cellXfs count="2560">
    <xf numFmtId="0" fontId="0" fillId="0" borderId="0" xfId="0"/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4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42" fontId="1" fillId="0" borderId="0" xfId="0" applyNumberFormat="1" applyFont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5" borderId="22" xfId="0" applyFont="1" applyFill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13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21" xfId="0" applyFont="1" applyBorder="1"/>
    <xf numFmtId="0" fontId="1" fillId="0" borderId="40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42" fontId="1" fillId="0" borderId="21" xfId="0" applyNumberFormat="1" applyFont="1" applyBorder="1"/>
    <xf numFmtId="0" fontId="1" fillId="5" borderId="42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42" fontId="1" fillId="0" borderId="41" xfId="0" applyNumberFormat="1" applyFont="1" applyBorder="1" applyAlignment="1">
      <alignment horizontal="center" vertical="center"/>
    </xf>
    <xf numFmtId="0" fontId="1" fillId="6" borderId="42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horizontal="left" vertical="center"/>
    </xf>
    <xf numFmtId="0" fontId="1" fillId="0" borderId="28" xfId="0" applyFont="1" applyBorder="1"/>
    <xf numFmtId="42" fontId="1" fillId="0" borderId="33" xfId="0" applyNumberFormat="1" applyFont="1" applyBorder="1"/>
    <xf numFmtId="0" fontId="1" fillId="0" borderId="48" xfId="0" applyFont="1" applyBorder="1" applyAlignment="1">
      <alignment horizontal="left" vertical="center"/>
    </xf>
    <xf numFmtId="0" fontId="1" fillId="0" borderId="56" xfId="0" applyFont="1" applyBorder="1" applyAlignment="1">
      <alignment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5" borderId="40" xfId="0" applyFont="1" applyFill="1" applyBorder="1" applyAlignment="1">
      <alignment horizontal="center" vertical="center"/>
    </xf>
    <xf numFmtId="0" fontId="1" fillId="5" borderId="66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left" vertical="center"/>
    </xf>
    <xf numFmtId="0" fontId="1" fillId="7" borderId="73" xfId="0" applyFont="1" applyFill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42" fontId="1" fillId="5" borderId="41" xfId="0" applyNumberFormat="1" applyFont="1" applyFill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75" xfId="0" applyFont="1" applyBorder="1" applyAlignment="1">
      <alignment horizontal="left"/>
    </xf>
    <xf numFmtId="0" fontId="1" fillId="0" borderId="26" xfId="0" applyFont="1" applyBorder="1" applyAlignment="1">
      <alignment vertical="center"/>
    </xf>
    <xf numFmtId="42" fontId="1" fillId="0" borderId="28" xfId="0" applyNumberFormat="1" applyFont="1" applyBorder="1" applyAlignment="1">
      <alignment vertical="center"/>
    </xf>
    <xf numFmtId="42" fontId="1" fillId="0" borderId="21" xfId="0" applyNumberFormat="1" applyFont="1" applyBorder="1" applyAlignment="1">
      <alignment vertical="center"/>
    </xf>
    <xf numFmtId="0" fontId="1" fillId="0" borderId="78" xfId="0" applyFont="1" applyBorder="1" applyAlignment="1">
      <alignment horizontal="center" vertical="center" wrapText="1"/>
    </xf>
    <xf numFmtId="0" fontId="0" fillId="0" borderId="21" xfId="0" applyBorder="1"/>
    <xf numFmtId="0" fontId="0" fillId="0" borderId="31" xfId="0" applyBorder="1"/>
    <xf numFmtId="42" fontId="1" fillId="0" borderId="29" xfId="0" applyNumberFormat="1" applyFont="1" applyBorder="1" applyAlignment="1">
      <alignment vertical="center"/>
    </xf>
    <xf numFmtId="42" fontId="1" fillId="0" borderId="31" xfId="0" applyNumberFormat="1" applyFont="1" applyBorder="1" applyAlignment="1">
      <alignment vertical="center"/>
    </xf>
    <xf numFmtId="42" fontId="1" fillId="0" borderId="34" xfId="0" applyNumberFormat="1" applyFont="1" applyBorder="1"/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0" fillId="7" borderId="84" xfId="0" applyFill="1" applyBorder="1"/>
    <xf numFmtId="42" fontId="1" fillId="0" borderId="28" xfId="0" applyNumberFormat="1" applyFont="1" applyBorder="1"/>
    <xf numFmtId="0" fontId="1" fillId="7" borderId="87" xfId="0" applyFont="1" applyFill="1" applyBorder="1" applyAlignment="1">
      <alignment vertical="center"/>
    </xf>
    <xf numFmtId="0" fontId="0" fillId="7" borderId="79" xfId="0" applyFill="1" applyBorder="1"/>
    <xf numFmtId="0" fontId="5" fillId="0" borderId="21" xfId="0" applyFont="1" applyBorder="1" applyAlignment="1">
      <alignment vertical="center" wrapText="1"/>
    </xf>
    <xf numFmtId="9" fontId="1" fillId="5" borderId="63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42" fontId="1" fillId="0" borderId="33" xfId="0" applyNumberFormat="1" applyFont="1" applyBorder="1" applyAlignment="1">
      <alignment vertical="center"/>
    </xf>
    <xf numFmtId="0" fontId="1" fillId="0" borderId="44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 wrapText="1"/>
    </xf>
    <xf numFmtId="0" fontId="5" fillId="0" borderId="100" xfId="0" applyFont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1" xfId="0" applyFont="1" applyBorder="1" applyAlignment="1">
      <alignment vertical="center" wrapText="1"/>
    </xf>
    <xf numFmtId="0" fontId="0" fillId="0" borderId="21" xfId="0" applyBorder="1" applyAlignment="1">
      <alignment vertical="center"/>
    </xf>
    <xf numFmtId="0" fontId="1" fillId="6" borderId="48" xfId="0" applyFont="1" applyFill="1" applyBorder="1" applyAlignment="1">
      <alignment horizontal="left" vertical="center"/>
    </xf>
    <xf numFmtId="0" fontId="1" fillId="0" borderId="87" xfId="0" applyFont="1" applyBorder="1" applyAlignment="1">
      <alignment vertical="center"/>
    </xf>
    <xf numFmtId="0" fontId="1" fillId="5" borderId="80" xfId="0" applyFont="1" applyFill="1" applyBorder="1" applyAlignment="1">
      <alignment horizontal="left" vertical="center"/>
    </xf>
    <xf numFmtId="0" fontId="1" fillId="5" borderId="111" xfId="0" applyFont="1" applyFill="1" applyBorder="1" applyAlignment="1">
      <alignment vertical="center"/>
    </xf>
    <xf numFmtId="0" fontId="5" fillId="0" borderId="75" xfId="0" applyFont="1" applyBorder="1" applyAlignment="1">
      <alignment horizontal="left"/>
    </xf>
    <xf numFmtId="0" fontId="1" fillId="0" borderId="60" xfId="0" applyFont="1" applyBorder="1" applyAlignment="1">
      <alignment vertical="center"/>
    </xf>
    <xf numFmtId="0" fontId="5" fillId="0" borderId="21" xfId="0" applyFont="1" applyBorder="1" applyAlignment="1">
      <alignment horizontal="center" vertical="center" wrapText="1"/>
    </xf>
    <xf numFmtId="0" fontId="1" fillId="0" borderId="79" xfId="0" applyFont="1" applyBorder="1" applyAlignment="1">
      <alignment vertical="center"/>
    </xf>
    <xf numFmtId="0" fontId="1" fillId="5" borderId="80" xfId="0" applyFont="1" applyFill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0" fontId="1" fillId="0" borderId="33" xfId="0" applyFont="1" applyBorder="1"/>
    <xf numFmtId="0" fontId="1" fillId="2" borderId="80" xfId="0" applyFont="1" applyFill="1" applyBorder="1" applyAlignment="1">
      <alignment horizontal="center" vertical="center"/>
    </xf>
    <xf numFmtId="0" fontId="1" fillId="2" borderId="80" xfId="0" applyFont="1" applyFill="1" applyBorder="1" applyAlignment="1">
      <alignment vertical="center"/>
    </xf>
    <xf numFmtId="42" fontId="1" fillId="18" borderId="41" xfId="0" applyNumberFormat="1" applyFont="1" applyFill="1" applyBorder="1" applyAlignment="1">
      <alignment horizontal="center" vertical="center"/>
    </xf>
    <xf numFmtId="0" fontId="5" fillId="16" borderId="6" xfId="0" applyFont="1" applyFill="1" applyBorder="1" applyAlignment="1">
      <alignment horizontal="center" vertical="center"/>
    </xf>
    <xf numFmtId="0" fontId="1" fillId="18" borderId="36" xfId="0" applyFont="1" applyFill="1" applyBorder="1" applyAlignment="1">
      <alignment vertical="center"/>
    </xf>
    <xf numFmtId="0" fontId="0" fillId="18" borderId="1" xfId="0" applyFill="1" applyBorder="1"/>
    <xf numFmtId="0" fontId="1" fillId="18" borderId="48" xfId="0" applyFont="1" applyFill="1" applyBorder="1" applyAlignment="1">
      <alignment horizontal="center" vertical="center"/>
    </xf>
    <xf numFmtId="42" fontId="1" fillId="18" borderId="50" xfId="0" applyNumberFormat="1" applyFont="1" applyFill="1" applyBorder="1" applyAlignment="1">
      <alignment horizontal="center" vertical="center"/>
    </xf>
    <xf numFmtId="0" fontId="1" fillId="8" borderId="45" xfId="0" applyFont="1" applyFill="1" applyBorder="1" applyAlignment="1">
      <alignment horizontal="center" vertical="center"/>
    </xf>
    <xf numFmtId="42" fontId="1" fillId="8" borderId="50" xfId="0" applyNumberFormat="1" applyFont="1" applyFill="1" applyBorder="1" applyAlignment="1">
      <alignment horizontal="center" vertical="center"/>
    </xf>
    <xf numFmtId="0" fontId="1" fillId="5" borderId="91" xfId="0" applyFont="1" applyFill="1" applyBorder="1" applyAlignment="1">
      <alignment horizontal="left" vertical="center"/>
    </xf>
    <xf numFmtId="0" fontId="1" fillId="19" borderId="38" xfId="0" applyFont="1" applyFill="1" applyBorder="1" applyAlignment="1">
      <alignment horizontal="center" vertical="center"/>
    </xf>
    <xf numFmtId="0" fontId="1" fillId="18" borderId="38" xfId="0" applyFont="1" applyFill="1" applyBorder="1" applyAlignment="1">
      <alignment horizontal="center" vertical="center"/>
    </xf>
    <xf numFmtId="0" fontId="1" fillId="19" borderId="42" xfId="0" applyFont="1" applyFill="1" applyBorder="1" applyAlignment="1">
      <alignment horizontal="center" vertical="center"/>
    </xf>
    <xf numFmtId="0" fontId="1" fillId="18" borderId="45" xfId="0" applyFont="1" applyFill="1" applyBorder="1" applyAlignment="1">
      <alignment horizontal="center" vertical="center"/>
    </xf>
    <xf numFmtId="0" fontId="1" fillId="18" borderId="4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1" fillId="2" borderId="111" xfId="0" applyFont="1" applyFill="1" applyBorder="1" applyAlignment="1">
      <alignment vertical="center"/>
    </xf>
    <xf numFmtId="0" fontId="5" fillId="0" borderId="28" xfId="0" applyFont="1" applyBorder="1" applyAlignment="1">
      <alignment vertical="center" wrapText="1"/>
    </xf>
    <xf numFmtId="0" fontId="5" fillId="0" borderId="94" xfId="0" applyFont="1" applyBorder="1" applyAlignment="1">
      <alignment horizontal="center" vertical="center" wrapText="1"/>
    </xf>
    <xf numFmtId="0" fontId="0" fillId="0" borderId="28" xfId="0" applyBorder="1"/>
    <xf numFmtId="165" fontId="1" fillId="5" borderId="44" xfId="0" applyNumberFormat="1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42" fontId="1" fillId="0" borderId="31" xfId="0" applyNumberFormat="1" applyFont="1" applyBorder="1"/>
    <xf numFmtId="0" fontId="1" fillId="8" borderId="42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/>
    </xf>
    <xf numFmtId="42" fontId="1" fillId="8" borderId="31" xfId="0" applyNumberFormat="1" applyFont="1" applyFill="1" applyBorder="1"/>
    <xf numFmtId="42" fontId="1" fillId="8" borderId="41" xfId="0" applyNumberFormat="1" applyFont="1" applyFill="1" applyBorder="1" applyAlignment="1">
      <alignment horizontal="center" vertical="center"/>
    </xf>
    <xf numFmtId="0" fontId="1" fillId="8" borderId="50" xfId="0" applyFont="1" applyFill="1" applyBorder="1" applyAlignment="1">
      <alignment horizontal="center" vertical="center"/>
    </xf>
    <xf numFmtId="42" fontId="1" fillId="8" borderId="34" xfId="0" applyNumberFormat="1" applyFont="1" applyFill="1" applyBorder="1"/>
    <xf numFmtId="0" fontId="1" fillId="8" borderId="48" xfId="0" applyFont="1" applyFill="1" applyBorder="1" applyAlignment="1">
      <alignment horizontal="center" vertical="center"/>
    </xf>
    <xf numFmtId="0" fontId="1" fillId="8" borderId="49" xfId="0" applyFont="1" applyFill="1" applyBorder="1" applyAlignment="1">
      <alignment vertical="center"/>
    </xf>
    <xf numFmtId="0" fontId="1" fillId="5" borderId="78" xfId="0" applyFont="1" applyFill="1" applyBorder="1" applyAlignment="1">
      <alignment horizontal="center" vertical="center"/>
    </xf>
    <xf numFmtId="1" fontId="1" fillId="5" borderId="95" xfId="0" applyNumberFormat="1" applyFont="1" applyFill="1" applyBorder="1" applyAlignment="1">
      <alignment horizontal="center" vertical="center"/>
    </xf>
    <xf numFmtId="1" fontId="1" fillId="5" borderId="84" xfId="0" applyNumberFormat="1" applyFont="1" applyFill="1" applyBorder="1" applyAlignment="1">
      <alignment horizontal="center" vertical="center"/>
    </xf>
    <xf numFmtId="0" fontId="1" fillId="5" borderId="99" xfId="0" applyFont="1" applyFill="1" applyBorder="1" applyAlignment="1">
      <alignment horizontal="center" vertical="center"/>
    </xf>
    <xf numFmtId="0" fontId="1" fillId="5" borderId="99" xfId="0" applyFont="1" applyFill="1" applyBorder="1" applyAlignment="1">
      <alignment horizontal="left" vertical="center"/>
    </xf>
    <xf numFmtId="42" fontId="1" fillId="5" borderId="64" xfId="1" applyFont="1" applyFill="1" applyBorder="1" applyAlignment="1">
      <alignment horizontal="center" vertical="center"/>
    </xf>
    <xf numFmtId="1" fontId="1" fillId="0" borderId="77" xfId="0" applyNumberFormat="1" applyFont="1" applyBorder="1" applyAlignment="1">
      <alignment horizontal="center" vertical="center"/>
    </xf>
    <xf numFmtId="1" fontId="1" fillId="0" borderId="75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1" fillId="0" borderId="59" xfId="0" applyFont="1" applyBorder="1" applyAlignment="1">
      <alignment vertical="center"/>
    </xf>
    <xf numFmtId="42" fontId="1" fillId="0" borderId="65" xfId="1" applyFont="1" applyFill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1" fillId="8" borderId="21" xfId="0" applyFont="1" applyFill="1" applyBorder="1"/>
    <xf numFmtId="0" fontId="1" fillId="0" borderId="66" xfId="0" applyFont="1" applyBorder="1" applyAlignment="1">
      <alignment horizontal="center" vertical="center"/>
    </xf>
    <xf numFmtId="1" fontId="1" fillId="0" borderId="96" xfId="0" applyNumberFormat="1" applyFont="1" applyBorder="1" applyAlignment="1">
      <alignment horizontal="center" vertical="center"/>
    </xf>
    <xf numFmtId="1" fontId="1" fillId="0" borderId="125" xfId="0" applyNumberFormat="1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97" xfId="0" applyFont="1" applyBorder="1" applyAlignment="1">
      <alignment vertical="center"/>
    </xf>
    <xf numFmtId="42" fontId="1" fillId="0" borderId="62" xfId="1" applyFont="1" applyFill="1" applyBorder="1" applyAlignment="1">
      <alignment horizontal="center" vertical="center"/>
    </xf>
    <xf numFmtId="0" fontId="1" fillId="17" borderId="42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vertical="center"/>
    </xf>
    <xf numFmtId="0" fontId="1" fillId="0" borderId="45" xfId="0" applyFont="1" applyBorder="1" applyAlignment="1">
      <alignment horizontal="center" vertical="center"/>
    </xf>
    <xf numFmtId="42" fontId="1" fillId="0" borderId="50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5" fillId="0" borderId="19" xfId="0" applyFont="1" applyBorder="1" applyAlignment="1">
      <alignment horizontal="center" vertical="center" wrapText="1"/>
    </xf>
    <xf numFmtId="42" fontId="1" fillId="0" borderId="18" xfId="0" applyNumberFormat="1" applyFont="1" applyBorder="1" applyAlignment="1">
      <alignment vertical="center"/>
    </xf>
    <xf numFmtId="42" fontId="1" fillId="0" borderId="117" xfId="0" applyNumberFormat="1" applyFont="1" applyBorder="1" applyAlignment="1">
      <alignment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vertical="center"/>
    </xf>
    <xf numFmtId="0" fontId="22" fillId="0" borderId="127" xfId="0" applyFont="1" applyBorder="1" applyAlignment="1">
      <alignment vertical="center"/>
    </xf>
    <xf numFmtId="0" fontId="0" fillId="0" borderId="36" xfId="0" applyBorder="1"/>
    <xf numFmtId="0" fontId="5" fillId="0" borderId="107" xfId="0" applyFont="1" applyBorder="1"/>
    <xf numFmtId="0" fontId="1" fillId="0" borderId="11" xfId="0" applyFont="1" applyBorder="1" applyAlignment="1">
      <alignment horizontal="left" vertical="center"/>
    </xf>
    <xf numFmtId="42" fontId="1" fillId="23" borderId="68" xfId="0" applyNumberFormat="1" applyFont="1" applyFill="1" applyBorder="1" applyAlignment="1">
      <alignment horizontal="center" vertical="center"/>
    </xf>
    <xf numFmtId="0" fontId="5" fillId="21" borderId="55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19" borderId="32" xfId="0" applyFont="1" applyFill="1" applyBorder="1" applyAlignment="1">
      <alignment horizontal="center" vertical="center"/>
    </xf>
    <xf numFmtId="17" fontId="1" fillId="0" borderId="4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2" borderId="82" xfId="0" applyFont="1" applyFill="1" applyBorder="1" applyAlignment="1">
      <alignment horizontal="left" vertical="center"/>
    </xf>
    <xf numFmtId="0" fontId="1" fillId="0" borderId="21" xfId="0" applyFont="1" applyBorder="1" applyAlignment="1">
      <alignment horizontal="left"/>
    </xf>
    <xf numFmtId="166" fontId="1" fillId="0" borderId="21" xfId="0" applyNumberFormat="1" applyFont="1" applyBorder="1" applyAlignment="1">
      <alignment horizontal="left"/>
    </xf>
    <xf numFmtId="42" fontId="1" fillId="0" borderId="21" xfId="0" applyNumberFormat="1" applyFont="1" applyBorder="1" applyAlignment="1">
      <alignment horizontal="left"/>
    </xf>
    <xf numFmtId="0" fontId="5" fillId="20" borderId="41" xfId="0" applyFont="1" applyFill="1" applyBorder="1" applyAlignment="1">
      <alignment horizontal="center" vertical="center"/>
    </xf>
    <xf numFmtId="42" fontId="1" fillId="7" borderId="41" xfId="0" applyNumberFormat="1" applyFont="1" applyFill="1" applyBorder="1" applyAlignment="1">
      <alignment horizontal="center" vertical="center"/>
    </xf>
    <xf numFmtId="0" fontId="1" fillId="18" borderId="41" xfId="0" applyFont="1" applyFill="1" applyBorder="1" applyAlignment="1">
      <alignment horizontal="center" vertical="center"/>
    </xf>
    <xf numFmtId="0" fontId="1" fillId="19" borderId="41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/>
    </xf>
    <xf numFmtId="0" fontId="1" fillId="19" borderId="8" xfId="0" applyFont="1" applyFill="1" applyBorder="1" applyAlignment="1">
      <alignment horizontal="left" vertical="center"/>
    </xf>
    <xf numFmtId="42" fontId="1" fillId="0" borderId="21" xfId="1" applyFont="1" applyBorder="1" applyAlignment="1">
      <alignment horizontal="left"/>
    </xf>
    <xf numFmtId="0" fontId="1" fillId="0" borderId="90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42" fontId="1" fillId="18" borderId="40" xfId="1" applyFont="1" applyFill="1" applyBorder="1" applyAlignment="1">
      <alignment horizontal="center" vertical="center"/>
    </xf>
    <xf numFmtId="42" fontId="1" fillId="19" borderId="40" xfId="1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left" vertical="center"/>
    </xf>
    <xf numFmtId="0" fontId="1" fillId="9" borderId="48" xfId="0" applyFont="1" applyFill="1" applyBorder="1" applyAlignment="1">
      <alignment horizontal="left" vertical="center"/>
    </xf>
    <xf numFmtId="42" fontId="1" fillId="0" borderId="0" xfId="0" applyNumberFormat="1" applyFont="1" applyAlignment="1">
      <alignment horizontal="left"/>
    </xf>
    <xf numFmtId="0" fontId="1" fillId="9" borderId="38" xfId="0" applyFont="1" applyFill="1" applyBorder="1" applyAlignment="1">
      <alignment horizontal="center" vertical="center"/>
    </xf>
    <xf numFmtId="0" fontId="1" fillId="7" borderId="107" xfId="0" applyFont="1" applyFill="1" applyBorder="1" applyAlignment="1">
      <alignment vertical="center"/>
    </xf>
    <xf numFmtId="0" fontId="1" fillId="0" borderId="75" xfId="0" applyFont="1" applyBorder="1" applyAlignment="1">
      <alignment vertical="center"/>
    </xf>
    <xf numFmtId="0" fontId="1" fillId="0" borderId="84" xfId="0" applyFont="1" applyBorder="1" applyAlignment="1">
      <alignment vertical="center"/>
    </xf>
    <xf numFmtId="0" fontId="0" fillId="7" borderId="21" xfId="0" applyFill="1" applyBorder="1" applyAlignment="1">
      <alignment vertical="center"/>
    </xf>
    <xf numFmtId="0" fontId="0" fillId="7" borderId="103" xfId="0" applyFill="1" applyBorder="1" applyAlignment="1">
      <alignment vertical="center"/>
    </xf>
    <xf numFmtId="0" fontId="1" fillId="8" borderId="40" xfId="0" applyFont="1" applyFill="1" applyBorder="1" applyAlignment="1">
      <alignment horizontal="center" vertical="center"/>
    </xf>
    <xf numFmtId="42" fontId="1" fillId="9" borderId="41" xfId="0" applyNumberFormat="1" applyFont="1" applyFill="1" applyBorder="1" applyAlignment="1">
      <alignment horizontal="center" vertical="center"/>
    </xf>
    <xf numFmtId="0" fontId="1" fillId="12" borderId="145" xfId="0" applyFont="1" applyFill="1" applyBorder="1" applyAlignment="1">
      <alignment vertical="center"/>
    </xf>
    <xf numFmtId="0" fontId="1" fillId="8" borderId="66" xfId="0" applyFont="1" applyFill="1" applyBorder="1" applyAlignment="1">
      <alignment horizontal="center" vertical="center"/>
    </xf>
    <xf numFmtId="42" fontId="1" fillId="0" borderId="37" xfId="0" applyNumberFormat="1" applyFont="1" applyBorder="1" applyAlignment="1">
      <alignment horizontal="center" vertical="center"/>
    </xf>
    <xf numFmtId="42" fontId="1" fillId="8" borderId="37" xfId="0" applyNumberFormat="1" applyFont="1" applyFill="1" applyBorder="1" applyAlignment="1">
      <alignment horizontal="center" vertical="center"/>
    </xf>
    <xf numFmtId="42" fontId="1" fillId="8" borderId="34" xfId="0" applyNumberFormat="1" applyFont="1" applyFill="1" applyBorder="1" applyAlignment="1">
      <alignment horizontal="center" vertical="center"/>
    </xf>
    <xf numFmtId="3" fontId="1" fillId="0" borderId="142" xfId="0" applyNumberFormat="1" applyFont="1" applyBorder="1" applyAlignment="1">
      <alignment horizontal="center" vertical="center"/>
    </xf>
    <xf numFmtId="0" fontId="1" fillId="8" borderId="143" xfId="0" applyFont="1" applyFill="1" applyBorder="1" applyAlignment="1">
      <alignment horizontal="center" vertical="center"/>
    </xf>
    <xf numFmtId="0" fontId="1" fillId="0" borderId="146" xfId="0" applyFont="1" applyBorder="1" applyAlignment="1">
      <alignment horizontal="center" vertical="center"/>
    </xf>
    <xf numFmtId="0" fontId="1" fillId="8" borderId="147" xfId="0" applyFont="1" applyFill="1" applyBorder="1" applyAlignment="1">
      <alignment horizontal="center" vertical="center"/>
    </xf>
    <xf numFmtId="0" fontId="1" fillId="7" borderId="73" xfId="0" applyFont="1" applyFill="1" applyBorder="1"/>
    <xf numFmtId="0" fontId="1" fillId="7" borderId="82" xfId="0" applyFont="1" applyFill="1" applyBorder="1"/>
    <xf numFmtId="0" fontId="1" fillId="7" borderId="38" xfId="0" applyFont="1" applyFill="1" applyBorder="1" applyAlignment="1">
      <alignment horizontal="center" vertical="center"/>
    </xf>
    <xf numFmtId="0" fontId="1" fillId="9" borderId="42" xfId="0" applyFont="1" applyFill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1" fillId="8" borderId="6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1" fillId="0" borderId="124" xfId="0" applyFont="1" applyBorder="1" applyAlignment="1">
      <alignment vertical="center"/>
    </xf>
    <xf numFmtId="0" fontId="1" fillId="0" borderId="149" xfId="0" applyFont="1" applyBorder="1" applyAlignment="1">
      <alignment vertical="center"/>
    </xf>
    <xf numFmtId="0" fontId="0" fillId="0" borderId="31" xfId="0" applyBorder="1" applyAlignment="1">
      <alignment horizontal="center"/>
    </xf>
    <xf numFmtId="165" fontId="1" fillId="5" borderId="41" xfId="0" applyNumberFormat="1" applyFont="1" applyFill="1" applyBorder="1" applyAlignment="1">
      <alignment horizontal="center" vertical="center"/>
    </xf>
    <xf numFmtId="165" fontId="1" fillId="0" borderId="41" xfId="0" applyNumberFormat="1" applyFont="1" applyBorder="1" applyAlignment="1">
      <alignment horizontal="center" vertical="center"/>
    </xf>
    <xf numFmtId="165" fontId="1" fillId="16" borderId="41" xfId="0" applyNumberFormat="1" applyFont="1" applyFill="1" applyBorder="1" applyAlignment="1">
      <alignment horizontal="center" vertical="center"/>
    </xf>
    <xf numFmtId="42" fontId="1" fillId="18" borderId="44" xfId="0" applyNumberFormat="1" applyFont="1" applyFill="1" applyBorder="1" applyAlignment="1">
      <alignment horizontal="center" vertical="center"/>
    </xf>
    <xf numFmtId="42" fontId="1" fillId="20" borderId="44" xfId="0" applyNumberFormat="1" applyFont="1" applyFill="1" applyBorder="1" applyAlignment="1">
      <alignment horizontal="center" vertical="center"/>
    </xf>
    <xf numFmtId="42" fontId="1" fillId="19" borderId="44" xfId="0" applyNumberFormat="1" applyFont="1" applyFill="1" applyBorder="1" applyAlignment="1">
      <alignment horizontal="center" vertical="center"/>
    </xf>
    <xf numFmtId="0" fontId="1" fillId="0" borderId="111" xfId="0" applyFont="1" applyBorder="1" applyAlignment="1">
      <alignment vertical="center"/>
    </xf>
    <xf numFmtId="0" fontId="1" fillId="9" borderId="119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0" fillId="7" borderId="36" xfId="0" applyFill="1" applyBorder="1"/>
    <xf numFmtId="42" fontId="1" fillId="8" borderId="58" xfId="1" applyFont="1" applyFill="1" applyBorder="1" applyAlignment="1">
      <alignment horizontal="center" vertical="center"/>
    </xf>
    <xf numFmtId="42" fontId="1" fillId="20" borderId="58" xfId="1" applyFont="1" applyFill="1" applyBorder="1" applyAlignment="1">
      <alignment horizontal="center" vertical="center"/>
    </xf>
    <xf numFmtId="42" fontId="1" fillId="7" borderId="58" xfId="1" applyFont="1" applyFill="1" applyBorder="1" applyAlignment="1">
      <alignment horizontal="center" vertical="center"/>
    </xf>
    <xf numFmtId="42" fontId="5" fillId="20" borderId="58" xfId="1" applyFont="1" applyFill="1" applyBorder="1" applyAlignment="1">
      <alignment horizontal="center" vertical="center"/>
    </xf>
    <xf numFmtId="0" fontId="5" fillId="20" borderId="59" xfId="0" applyFont="1" applyFill="1" applyBorder="1" applyAlignment="1">
      <alignment vertical="center"/>
    </xf>
    <xf numFmtId="42" fontId="1" fillId="18" borderId="58" xfId="1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left" vertical="center"/>
    </xf>
    <xf numFmtId="0" fontId="1" fillId="8" borderId="59" xfId="0" applyFont="1" applyFill="1" applyBorder="1" applyAlignment="1">
      <alignment vertical="center"/>
    </xf>
    <xf numFmtId="42" fontId="1" fillId="8" borderId="44" xfId="0" applyNumberFormat="1" applyFont="1" applyFill="1" applyBorder="1" applyAlignment="1">
      <alignment horizontal="center" vertical="center"/>
    </xf>
    <xf numFmtId="42" fontId="1" fillId="7" borderId="44" xfId="0" applyNumberFormat="1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vertical="center"/>
    </xf>
    <xf numFmtId="0" fontId="1" fillId="7" borderId="22" xfId="0" applyFont="1" applyFill="1" applyBorder="1" applyAlignment="1">
      <alignment horizontal="left" vertical="center"/>
    </xf>
    <xf numFmtId="42" fontId="1" fillId="25" borderId="44" xfId="0" applyNumberFormat="1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left" vertical="center"/>
    </xf>
    <xf numFmtId="0" fontId="1" fillId="9" borderId="59" xfId="0" applyFont="1" applyFill="1" applyBorder="1" applyAlignment="1">
      <alignment vertical="center"/>
    </xf>
    <xf numFmtId="42" fontId="1" fillId="9" borderId="44" xfId="0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left" vertical="center"/>
    </xf>
    <xf numFmtId="0" fontId="1" fillId="0" borderId="157" xfId="0" applyFont="1" applyBorder="1" applyAlignment="1">
      <alignment horizontal="center" vertical="center" wrapText="1"/>
    </xf>
    <xf numFmtId="0" fontId="1" fillId="0" borderId="158" xfId="0" applyFont="1" applyBorder="1" applyAlignment="1">
      <alignment horizontal="center" vertical="center" wrapText="1"/>
    </xf>
    <xf numFmtId="42" fontId="1" fillId="26" borderId="41" xfId="0" applyNumberFormat="1" applyFont="1" applyFill="1" applyBorder="1" applyAlignment="1">
      <alignment horizontal="center" vertical="center"/>
    </xf>
    <xf numFmtId="42" fontId="1" fillId="19" borderId="78" xfId="1" applyFont="1" applyFill="1" applyBorder="1" applyAlignment="1">
      <alignment horizontal="center" vertical="center"/>
    </xf>
    <xf numFmtId="0" fontId="1" fillId="28" borderId="111" xfId="0" applyFont="1" applyFill="1" applyBorder="1" applyAlignment="1">
      <alignment vertical="center"/>
    </xf>
    <xf numFmtId="0" fontId="1" fillId="22" borderId="6" xfId="0" applyFont="1" applyFill="1" applyBorder="1" applyAlignment="1">
      <alignment vertical="center"/>
    </xf>
    <xf numFmtId="0" fontId="1" fillId="29" borderId="42" xfId="0" applyFont="1" applyFill="1" applyBorder="1" applyAlignment="1">
      <alignment horizontal="center" vertical="center"/>
    </xf>
    <xf numFmtId="0" fontId="1" fillId="30" borderId="6" xfId="0" applyFont="1" applyFill="1" applyBorder="1" applyAlignment="1">
      <alignment horizontal="center" vertical="center"/>
    </xf>
    <xf numFmtId="0" fontId="1" fillId="30" borderId="6" xfId="0" applyFont="1" applyFill="1" applyBorder="1" applyAlignment="1">
      <alignment vertical="center"/>
    </xf>
    <xf numFmtId="0" fontId="1" fillId="0" borderId="2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1" fillId="0" borderId="1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59" xfId="0" applyFont="1" applyBorder="1" applyAlignment="1">
      <alignment horizontal="left" vertical="center"/>
    </xf>
    <xf numFmtId="0" fontId="1" fillId="0" borderId="118" xfId="0" applyFont="1" applyBorder="1" applyAlignment="1">
      <alignment horizontal="left" vertical="center"/>
    </xf>
    <xf numFmtId="0" fontId="1" fillId="0" borderId="75" xfId="0" applyFont="1" applyBorder="1" applyAlignment="1">
      <alignment horizontal="left" vertical="center"/>
    </xf>
    <xf numFmtId="42" fontId="1" fillId="0" borderId="68" xfId="0" applyNumberFormat="1" applyFont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/>
    </xf>
    <xf numFmtId="42" fontId="1" fillId="24" borderId="68" xfId="0" applyNumberFormat="1" applyFont="1" applyFill="1" applyBorder="1" applyAlignment="1">
      <alignment horizontal="center" vertical="center"/>
    </xf>
    <xf numFmtId="42" fontId="1" fillId="20" borderId="68" xfId="0" applyNumberFormat="1" applyFont="1" applyFill="1" applyBorder="1" applyAlignment="1">
      <alignment horizontal="center" vertical="center"/>
    </xf>
    <xf numFmtId="42" fontId="1" fillId="20" borderId="83" xfId="0" applyNumberFormat="1" applyFont="1" applyFill="1" applyBorder="1" applyAlignment="1">
      <alignment horizontal="center" vertical="center"/>
    </xf>
    <xf numFmtId="42" fontId="1" fillId="8" borderId="90" xfId="0" applyNumberFormat="1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1" fillId="8" borderId="68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vertical="center"/>
    </xf>
    <xf numFmtId="0" fontId="1" fillId="26" borderId="39" xfId="0" applyFont="1" applyFill="1" applyBorder="1" applyAlignment="1">
      <alignment horizontal="center" vertical="center"/>
    </xf>
    <xf numFmtId="0" fontId="1" fillId="0" borderId="157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42" fontId="1" fillId="0" borderId="65" xfId="0" applyNumberFormat="1" applyFont="1" applyBorder="1" applyAlignment="1">
      <alignment horizontal="center" vertical="center"/>
    </xf>
    <xf numFmtId="0" fontId="1" fillId="8" borderId="39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left" vertical="center"/>
    </xf>
    <xf numFmtId="0" fontId="1" fillId="0" borderId="72" xfId="0" applyFont="1" applyBorder="1" applyAlignment="1">
      <alignment horizontal="left" vertical="center"/>
    </xf>
    <xf numFmtId="0" fontId="1" fillId="0" borderId="127" xfId="0" applyFont="1" applyBorder="1" applyAlignment="1">
      <alignment horizontal="left" vertical="center"/>
    </xf>
    <xf numFmtId="0" fontId="8" fillId="2" borderId="9" xfId="0" applyFont="1" applyFill="1" applyBorder="1" applyAlignment="1">
      <alignment vertical="center"/>
    </xf>
    <xf numFmtId="42" fontId="1" fillId="0" borderId="34" xfId="0" applyNumberFormat="1" applyFont="1" applyBorder="1" applyAlignment="1">
      <alignment vertical="center"/>
    </xf>
    <xf numFmtId="0" fontId="22" fillId="8" borderId="126" xfId="0" applyFont="1" applyFill="1" applyBorder="1"/>
    <xf numFmtId="0" fontId="1" fillId="8" borderId="42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>
      <alignment vertical="center"/>
    </xf>
    <xf numFmtId="0" fontId="1" fillId="8" borderId="24" xfId="0" applyFont="1" applyFill="1" applyBorder="1" applyAlignment="1">
      <alignment horizontal="left" vertical="center" wrapText="1"/>
    </xf>
    <xf numFmtId="167" fontId="1" fillId="8" borderId="39" xfId="4" applyNumberFormat="1" applyFont="1" applyFill="1" applyBorder="1" applyAlignment="1">
      <alignment horizontal="center" vertical="center"/>
    </xf>
    <xf numFmtId="167" fontId="1" fillId="0" borderId="39" xfId="4" applyNumberFormat="1" applyFont="1" applyBorder="1" applyAlignment="1">
      <alignment horizontal="center" vertical="center"/>
    </xf>
    <xf numFmtId="0" fontId="1" fillId="0" borderId="99" xfId="0" applyFont="1" applyBorder="1" applyAlignment="1">
      <alignment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left" vertical="center"/>
    </xf>
    <xf numFmtId="0" fontId="9" fillId="8" borderId="22" xfId="0" applyFont="1" applyFill="1" applyBorder="1" applyAlignment="1">
      <alignment horizontal="left" vertical="center"/>
    </xf>
    <xf numFmtId="0" fontId="5" fillId="8" borderId="59" xfId="0" applyFont="1" applyFill="1" applyBorder="1" applyAlignment="1">
      <alignment vertical="center"/>
    </xf>
    <xf numFmtId="0" fontId="1" fillId="7" borderId="42" xfId="0" applyFont="1" applyFill="1" applyBorder="1" applyAlignment="1">
      <alignment horizontal="center" vertical="center"/>
    </xf>
    <xf numFmtId="0" fontId="1" fillId="8" borderId="59" xfId="0" applyFont="1" applyFill="1" applyBorder="1" applyAlignment="1">
      <alignment horizontal="left" vertical="center"/>
    </xf>
    <xf numFmtId="0" fontId="1" fillId="9" borderId="81" xfId="0" applyFont="1" applyFill="1" applyBorder="1" applyAlignment="1">
      <alignment horizontal="center" vertical="center"/>
    </xf>
    <xf numFmtId="0" fontId="1" fillId="9" borderId="111" xfId="0" applyFont="1" applyFill="1" applyBorder="1" applyAlignment="1">
      <alignment horizontal="center" vertical="center"/>
    </xf>
    <xf numFmtId="0" fontId="1" fillId="9" borderId="111" xfId="0" applyFont="1" applyFill="1" applyBorder="1" applyAlignment="1">
      <alignment horizontal="left" vertical="center"/>
    </xf>
    <xf numFmtId="0" fontId="1" fillId="22" borderId="130" xfId="0" applyFont="1" applyFill="1" applyBorder="1" applyAlignment="1">
      <alignment vertical="center"/>
    </xf>
    <xf numFmtId="0" fontId="1" fillId="9" borderId="82" xfId="0" applyFont="1" applyFill="1" applyBorder="1" applyAlignment="1">
      <alignment horizontal="center" vertical="center"/>
    </xf>
    <xf numFmtId="0" fontId="5" fillId="25" borderId="82" xfId="0" applyFont="1" applyFill="1" applyBorder="1" applyAlignment="1">
      <alignment horizontal="left" vertical="center"/>
    </xf>
    <xf numFmtId="165" fontId="1" fillId="0" borderId="44" xfId="0" applyNumberFormat="1" applyFont="1" applyBorder="1" applyAlignment="1">
      <alignment horizontal="center" vertical="center"/>
    </xf>
    <xf numFmtId="42" fontId="1" fillId="26" borderId="50" xfId="0" applyNumberFormat="1" applyFont="1" applyFill="1" applyBorder="1" applyAlignment="1">
      <alignment horizontal="center" vertical="center"/>
    </xf>
    <xf numFmtId="0" fontId="1" fillId="0" borderId="69" xfId="0" applyFont="1" applyBorder="1" applyAlignment="1">
      <alignment horizontal="left" vertical="center"/>
    </xf>
    <xf numFmtId="0" fontId="1" fillId="8" borderId="6" xfId="0" applyFont="1" applyFill="1" applyBorder="1" applyAlignment="1">
      <alignment horizontal="center" vertical="center"/>
    </xf>
    <xf numFmtId="0" fontId="5" fillId="5" borderId="80" xfId="0" applyFont="1" applyFill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80" xfId="0" applyFont="1" applyBorder="1" applyAlignment="1">
      <alignment horizontal="left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42" fontId="1" fillId="0" borderId="29" xfId="0" applyNumberFormat="1" applyFont="1" applyBorder="1"/>
    <xf numFmtId="0" fontId="1" fillId="0" borderId="96" xfId="0" applyFont="1" applyBorder="1" applyAlignment="1">
      <alignment horizontal="center" vertical="center"/>
    </xf>
    <xf numFmtId="0" fontId="5" fillId="25" borderId="85" xfId="0" applyFont="1" applyFill="1" applyBorder="1" applyAlignment="1">
      <alignment vertical="center"/>
    </xf>
    <xf numFmtId="0" fontId="5" fillId="25" borderId="86" xfId="0" applyFont="1" applyFill="1" applyBorder="1" applyAlignment="1">
      <alignment vertical="center"/>
    </xf>
    <xf numFmtId="0" fontId="1" fillId="8" borderId="118" xfId="0" applyFont="1" applyFill="1" applyBorder="1" applyAlignment="1">
      <alignment vertical="center"/>
    </xf>
    <xf numFmtId="0" fontId="1" fillId="8" borderId="75" xfId="0" applyFont="1" applyFill="1" applyBorder="1" applyAlignment="1">
      <alignment vertical="center"/>
    </xf>
    <xf numFmtId="0" fontId="1" fillId="7" borderId="118" xfId="0" applyFont="1" applyFill="1" applyBorder="1" applyAlignment="1">
      <alignment vertical="center"/>
    </xf>
    <xf numFmtId="0" fontId="1" fillId="7" borderId="75" xfId="0" applyFont="1" applyFill="1" applyBorder="1" applyAlignment="1">
      <alignment vertical="center"/>
    </xf>
    <xf numFmtId="0" fontId="5" fillId="25" borderId="118" xfId="0" applyFont="1" applyFill="1" applyBorder="1" applyAlignment="1">
      <alignment vertical="center"/>
    </xf>
    <xf numFmtId="0" fontId="5" fillId="25" borderId="75" xfId="0" applyFont="1" applyFill="1" applyBorder="1" applyAlignment="1">
      <alignment vertical="center"/>
    </xf>
    <xf numFmtId="0" fontId="5" fillId="20" borderId="118" xfId="0" applyFont="1" applyFill="1" applyBorder="1" applyAlignment="1">
      <alignment vertical="center"/>
    </xf>
    <xf numFmtId="0" fontId="5" fillId="20" borderId="75" xfId="0" applyFont="1" applyFill="1" applyBorder="1" applyAlignment="1">
      <alignment vertical="center"/>
    </xf>
    <xf numFmtId="0" fontId="22" fillId="8" borderId="6" xfId="0" applyFont="1" applyFill="1" applyBorder="1"/>
    <xf numFmtId="165" fontId="1" fillId="8" borderId="50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/>
    <xf numFmtId="0" fontId="5" fillId="0" borderId="14" xfId="0" applyFont="1" applyBorder="1" applyAlignment="1">
      <alignment horizontal="center" vertical="center"/>
    </xf>
    <xf numFmtId="0" fontId="26" fillId="0" borderId="21" xfId="0" applyFont="1" applyBorder="1"/>
    <xf numFmtId="1" fontId="5" fillId="8" borderId="40" xfId="0" applyNumberFormat="1" applyFont="1" applyFill="1" applyBorder="1" applyAlignment="1">
      <alignment horizontal="center" vertical="center"/>
    </xf>
    <xf numFmtId="42" fontId="5" fillId="5" borderId="133" xfId="0" applyNumberFormat="1" applyFont="1" applyFill="1" applyBorder="1" applyAlignment="1">
      <alignment horizontal="center" vertical="center"/>
    </xf>
    <xf numFmtId="42" fontId="5" fillId="0" borderId="133" xfId="0" applyNumberFormat="1" applyFont="1" applyBorder="1" applyAlignment="1">
      <alignment horizontal="center" vertical="center"/>
    </xf>
    <xf numFmtId="0" fontId="26" fillId="0" borderId="2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9" borderId="14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0" borderId="21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5" borderId="42" xfId="0" applyFont="1" applyFill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8" borderId="45" xfId="0" applyFont="1" applyFill="1" applyBorder="1" applyAlignment="1">
      <alignment vertical="center"/>
    </xf>
    <xf numFmtId="0" fontId="5" fillId="0" borderId="77" xfId="0" applyFont="1" applyBorder="1" applyAlignment="1">
      <alignment horizontal="center" vertical="center"/>
    </xf>
    <xf numFmtId="0" fontId="5" fillId="8" borderId="77" xfId="0" applyFont="1" applyFill="1" applyBorder="1" applyAlignment="1">
      <alignment horizontal="center" vertical="center"/>
    </xf>
    <xf numFmtId="1" fontId="5" fillId="5" borderId="14" xfId="0" applyNumberFormat="1" applyFont="1" applyFill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1" fontId="5" fillId="9" borderId="100" xfId="0" applyNumberFormat="1" applyFont="1" applyFill="1" applyBorder="1" applyAlignment="1">
      <alignment horizontal="center" vertical="center"/>
    </xf>
    <xf numFmtId="1" fontId="5" fillId="5" borderId="40" xfId="0" applyNumberFormat="1" applyFont="1" applyFill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66" xfId="0" applyNumberFormat="1" applyFont="1" applyBorder="1" applyAlignment="1">
      <alignment horizontal="center" vertical="center"/>
    </xf>
    <xf numFmtId="0" fontId="26" fillId="0" borderId="36" xfId="0" applyFont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5" fillId="18" borderId="45" xfId="0" applyFont="1" applyFill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8" borderId="42" xfId="0" applyFont="1" applyFill="1" applyBorder="1" applyAlignment="1">
      <alignment vertical="center"/>
    </xf>
    <xf numFmtId="0" fontId="1" fillId="8" borderId="11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6" fillId="7" borderId="21" xfId="0" applyFont="1" applyFill="1" applyBorder="1" applyAlignment="1">
      <alignment vertical="center"/>
    </xf>
    <xf numFmtId="0" fontId="7" fillId="7" borderId="21" xfId="0" applyFont="1" applyFill="1" applyBorder="1" applyAlignment="1">
      <alignment vertical="center"/>
    </xf>
    <xf numFmtId="0" fontId="7" fillId="7" borderId="103" xfId="0" applyFont="1" applyFill="1" applyBorder="1" applyAlignment="1">
      <alignment vertical="center"/>
    </xf>
    <xf numFmtId="0" fontId="26" fillId="7" borderId="10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21" xfId="0" applyFont="1" applyBorder="1" applyAlignment="1">
      <alignment vertical="center"/>
    </xf>
    <xf numFmtId="42" fontId="5" fillId="0" borderId="0" xfId="1" applyFont="1" applyAlignment="1">
      <alignment horizontal="center" vertical="center"/>
    </xf>
    <xf numFmtId="42" fontId="1" fillId="0" borderId="134" xfId="1" applyFont="1" applyBorder="1" applyAlignment="1">
      <alignment horizontal="center" vertical="center"/>
    </xf>
    <xf numFmtId="42" fontId="1" fillId="20" borderId="50" xfId="1" applyFont="1" applyFill="1" applyBorder="1" applyAlignment="1">
      <alignment horizontal="center" vertical="center"/>
    </xf>
    <xf numFmtId="0" fontId="1" fillId="0" borderId="132" xfId="0" applyFont="1" applyBorder="1" applyAlignment="1">
      <alignment horizontal="center" vertical="center"/>
    </xf>
    <xf numFmtId="42" fontId="1" fillId="0" borderId="158" xfId="0" applyNumberFormat="1" applyFont="1" applyBorder="1" applyAlignment="1">
      <alignment horizontal="center" vertical="center"/>
    </xf>
    <xf numFmtId="42" fontId="1" fillId="5" borderId="34" xfId="0" applyNumberFormat="1" applyFont="1" applyFill="1" applyBorder="1" applyAlignment="1">
      <alignment horizontal="center" vertical="center"/>
    </xf>
    <xf numFmtId="42" fontId="1" fillId="5" borderId="58" xfId="0" applyNumberFormat="1" applyFont="1" applyFill="1" applyBorder="1" applyAlignment="1">
      <alignment horizontal="center" vertical="center"/>
    </xf>
    <xf numFmtId="42" fontId="1" fillId="0" borderId="44" xfId="0" applyNumberFormat="1" applyFont="1" applyBorder="1" applyAlignment="1">
      <alignment horizontal="center" vertical="center"/>
    </xf>
    <xf numFmtId="42" fontId="1" fillId="5" borderId="98" xfId="0" applyNumberFormat="1" applyFont="1" applyFill="1" applyBorder="1" applyAlignment="1">
      <alignment horizontal="center" vertical="center"/>
    </xf>
    <xf numFmtId="42" fontId="22" fillId="0" borderId="37" xfId="1" applyFont="1" applyBorder="1" applyAlignment="1">
      <alignment horizontal="center" vertical="center"/>
    </xf>
    <xf numFmtId="42" fontId="22" fillId="0" borderId="34" xfId="1" applyFont="1" applyBorder="1" applyAlignment="1">
      <alignment horizontal="center" vertical="center"/>
    </xf>
    <xf numFmtId="42" fontId="1" fillId="6" borderId="31" xfId="1" applyFont="1" applyFill="1" applyBorder="1" applyAlignment="1">
      <alignment horizontal="center" vertical="center"/>
    </xf>
    <xf numFmtId="42" fontId="1" fillId="6" borderId="34" xfId="1" applyFont="1" applyFill="1" applyBorder="1" applyAlignment="1">
      <alignment horizontal="center" vertical="center"/>
    </xf>
    <xf numFmtId="42" fontId="1" fillId="11" borderId="31" xfId="1" applyFont="1" applyFill="1" applyBorder="1" applyAlignment="1">
      <alignment horizontal="center" vertical="center"/>
    </xf>
    <xf numFmtId="42" fontId="1" fillId="11" borderId="34" xfId="1" applyFont="1" applyFill="1" applyBorder="1" applyAlignment="1">
      <alignment horizontal="center" vertical="center"/>
    </xf>
    <xf numFmtId="42" fontId="1" fillId="6" borderId="34" xfId="0" applyNumberFormat="1" applyFont="1" applyFill="1" applyBorder="1" applyAlignment="1">
      <alignment horizontal="center" vertical="center"/>
    </xf>
    <xf numFmtId="42" fontId="1" fillId="11" borderId="31" xfId="0" applyNumberFormat="1" applyFont="1" applyFill="1" applyBorder="1" applyAlignment="1">
      <alignment horizontal="center" vertical="center"/>
    </xf>
    <xf numFmtId="42" fontId="1" fillId="11" borderId="34" xfId="0" applyNumberFormat="1" applyFont="1" applyFill="1" applyBorder="1" applyAlignment="1">
      <alignment horizontal="center" vertical="center"/>
    </xf>
    <xf numFmtId="0" fontId="1" fillId="27" borderId="80" xfId="0" applyFont="1" applyFill="1" applyBorder="1" applyAlignment="1">
      <alignment horizontal="left" vertical="center"/>
    </xf>
    <xf numFmtId="0" fontId="1" fillId="7" borderId="74" xfId="0" applyFont="1" applyFill="1" applyBorder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0" borderId="142" xfId="0" applyFont="1" applyBorder="1" applyAlignment="1">
      <alignment horizontal="left" vertical="center"/>
    </xf>
    <xf numFmtId="0" fontId="1" fillId="8" borderId="84" xfId="0" applyFont="1" applyFill="1" applyBorder="1" applyAlignment="1">
      <alignment horizontal="left" vertical="center"/>
    </xf>
    <xf numFmtId="42" fontId="5" fillId="0" borderId="159" xfId="0" applyNumberFormat="1" applyFont="1" applyBorder="1" applyAlignment="1">
      <alignment horizontal="center" vertical="center"/>
    </xf>
    <xf numFmtId="0" fontId="1" fillId="20" borderId="97" xfId="0" applyFont="1" applyFill="1" applyBorder="1" applyAlignment="1">
      <alignment vertical="center"/>
    </xf>
    <xf numFmtId="0" fontId="1" fillId="8" borderId="125" xfId="0" applyFont="1" applyFill="1" applyBorder="1" applyAlignment="1">
      <alignment vertical="center"/>
    </xf>
    <xf numFmtId="42" fontId="1" fillId="26" borderId="62" xfId="0" applyNumberFormat="1" applyFont="1" applyFill="1" applyBorder="1" applyAlignment="1">
      <alignment horizontal="center" vertical="center"/>
    </xf>
    <xf numFmtId="42" fontId="1" fillId="0" borderId="58" xfId="1" applyFont="1" applyFill="1" applyBorder="1" applyAlignment="1">
      <alignment horizontal="center" vertical="center"/>
    </xf>
    <xf numFmtId="0" fontId="1" fillId="0" borderId="67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7" borderId="25" xfId="0" applyFont="1" applyFill="1" applyBorder="1" applyAlignment="1">
      <alignment vertical="center"/>
    </xf>
    <xf numFmtId="0" fontId="1" fillId="7" borderId="120" xfId="0" applyFont="1" applyFill="1" applyBorder="1" applyAlignment="1">
      <alignment vertical="center"/>
    </xf>
    <xf numFmtId="0" fontId="1" fillId="9" borderId="50" xfId="0" applyFont="1" applyFill="1" applyBorder="1" applyAlignment="1">
      <alignment horizontal="center" vertical="center"/>
    </xf>
    <xf numFmtId="0" fontId="1" fillId="29" borderId="38" xfId="0" applyFont="1" applyFill="1" applyBorder="1" applyAlignment="1">
      <alignment horizontal="center" vertical="center"/>
    </xf>
    <xf numFmtId="0" fontId="1" fillId="29" borderId="134" xfId="0" applyFont="1" applyFill="1" applyBorder="1" applyAlignment="1">
      <alignment horizontal="center" vertical="center"/>
    </xf>
    <xf numFmtId="0" fontId="1" fillId="0" borderId="118" xfId="0" applyFont="1" applyBorder="1" applyAlignment="1">
      <alignment vertical="center"/>
    </xf>
    <xf numFmtId="0" fontId="22" fillId="0" borderId="6" xfId="0" applyFont="1" applyBorder="1"/>
    <xf numFmtId="0" fontId="22" fillId="0" borderId="126" xfId="0" applyFont="1" applyBorder="1"/>
    <xf numFmtId="0" fontId="1" fillId="26" borderId="38" xfId="0" applyFont="1" applyFill="1" applyBorder="1" applyAlignment="1">
      <alignment horizontal="center" vertical="center"/>
    </xf>
    <xf numFmtId="0" fontId="1" fillId="29" borderId="32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1" fillId="29" borderId="81" xfId="0" applyFont="1" applyFill="1" applyBorder="1" applyAlignment="1">
      <alignment horizontal="center" vertical="center"/>
    </xf>
    <xf numFmtId="0" fontId="1" fillId="29" borderId="39" xfId="0" applyFont="1" applyFill="1" applyBorder="1" applyAlignment="1">
      <alignment horizontal="center" vertical="center"/>
    </xf>
    <xf numFmtId="0" fontId="1" fillId="29" borderId="41" xfId="0" applyFont="1" applyFill="1" applyBorder="1" applyAlignment="1">
      <alignment horizontal="center" vertical="center"/>
    </xf>
    <xf numFmtId="0" fontId="1" fillId="26" borderId="134" xfId="0" applyFont="1" applyFill="1" applyBorder="1" applyAlignment="1">
      <alignment horizontal="center" vertical="center"/>
    </xf>
    <xf numFmtId="0" fontId="1" fillId="29" borderId="92" xfId="0" applyFont="1" applyFill="1" applyBorder="1" applyAlignment="1">
      <alignment horizontal="center" vertical="center"/>
    </xf>
    <xf numFmtId="0" fontId="1" fillId="5" borderId="112" xfId="0" applyFont="1" applyFill="1" applyBorder="1" applyAlignment="1">
      <alignment horizontal="center" vertical="center" wrapText="1"/>
    </xf>
    <xf numFmtId="0" fontId="1" fillId="29" borderId="112" xfId="0" applyFont="1" applyFill="1" applyBorder="1" applyAlignment="1">
      <alignment horizontal="center" vertical="center" wrapText="1"/>
    </xf>
    <xf numFmtId="42" fontId="1" fillId="0" borderId="0" xfId="1" applyFont="1" applyAlignment="1">
      <alignment horizontal="center" vertical="center"/>
    </xf>
    <xf numFmtId="42" fontId="1" fillId="0" borderId="21" xfId="1" applyFont="1" applyBorder="1" applyAlignment="1">
      <alignment horizontal="center"/>
    </xf>
    <xf numFmtId="42" fontId="1" fillId="0" borderId="21" xfId="1" applyFont="1" applyBorder="1" applyAlignment="1">
      <alignment horizontal="center" vertical="center"/>
    </xf>
    <xf numFmtId="42" fontId="1" fillId="0" borderId="0" xfId="1" applyFont="1" applyAlignment="1">
      <alignment horizontal="center"/>
    </xf>
    <xf numFmtId="0" fontId="1" fillId="0" borderId="37" xfId="0" applyFont="1" applyBorder="1" applyAlignment="1">
      <alignment horizontal="center" vertical="center"/>
    </xf>
    <xf numFmtId="42" fontId="1" fillId="0" borderId="83" xfId="0" applyNumberFormat="1" applyFont="1" applyBorder="1" applyAlignment="1">
      <alignment horizontal="center" vertical="center"/>
    </xf>
    <xf numFmtId="42" fontId="1" fillId="5" borderId="83" xfId="0" applyNumberFormat="1" applyFont="1" applyFill="1" applyBorder="1" applyAlignment="1">
      <alignment horizontal="center" vertical="center"/>
    </xf>
    <xf numFmtId="42" fontId="22" fillId="20" borderId="128" xfId="1" applyFont="1" applyFill="1" applyBorder="1" applyAlignment="1">
      <alignment horizontal="center" vertical="center"/>
    </xf>
    <xf numFmtId="42" fontId="1" fillId="8" borderId="83" xfId="0" applyNumberFormat="1" applyFont="1" applyFill="1" applyBorder="1" applyAlignment="1">
      <alignment horizontal="center" vertical="center"/>
    </xf>
    <xf numFmtId="167" fontId="1" fillId="0" borderId="37" xfId="4" applyNumberFormat="1" applyFont="1" applyBorder="1" applyAlignment="1">
      <alignment horizontal="center" vertical="center"/>
    </xf>
    <xf numFmtId="42" fontId="1" fillId="2" borderId="92" xfId="0" applyNumberFormat="1" applyFont="1" applyFill="1" applyBorder="1" applyAlignment="1">
      <alignment horizontal="center" vertical="center"/>
    </xf>
    <xf numFmtId="42" fontId="1" fillId="25" borderId="41" xfId="0" applyNumberFormat="1" applyFont="1" applyFill="1" applyBorder="1" applyAlignment="1">
      <alignment horizontal="center" vertical="center"/>
    </xf>
    <xf numFmtId="42" fontId="1" fillId="20" borderId="41" xfId="0" applyNumberFormat="1" applyFont="1" applyFill="1" applyBorder="1" applyAlignment="1">
      <alignment horizontal="center" vertical="center"/>
    </xf>
    <xf numFmtId="42" fontId="1" fillId="19" borderId="41" xfId="0" applyNumberFormat="1" applyFont="1" applyFill="1" applyBorder="1" applyAlignment="1">
      <alignment horizontal="center" vertical="center"/>
    </xf>
    <xf numFmtId="42" fontId="1" fillId="19" borderId="50" xfId="0" applyNumberFormat="1" applyFont="1" applyFill="1" applyBorder="1" applyAlignment="1">
      <alignment horizontal="center" vertical="center"/>
    </xf>
    <xf numFmtId="0" fontId="1" fillId="26" borderId="95" xfId="0" applyFont="1" applyFill="1" applyBorder="1" applyAlignment="1">
      <alignment horizontal="center" vertical="center"/>
    </xf>
    <xf numFmtId="42" fontId="1" fillId="26" borderId="44" xfId="0" applyNumberFormat="1" applyFont="1" applyFill="1" applyBorder="1" applyAlignment="1">
      <alignment horizontal="center" vertical="center"/>
    </xf>
    <xf numFmtId="0" fontId="1" fillId="25" borderId="42" xfId="0" applyFont="1" applyFill="1" applyBorder="1" applyAlignment="1">
      <alignment horizontal="center" vertical="center"/>
    </xf>
    <xf numFmtId="1" fontId="5" fillId="26" borderId="14" xfId="0" applyNumberFormat="1" applyFont="1" applyFill="1" applyBorder="1" applyAlignment="1">
      <alignment horizontal="center" vertical="center"/>
    </xf>
    <xf numFmtId="0" fontId="1" fillId="28" borderId="6" xfId="0" applyFont="1" applyFill="1" applyBorder="1" applyAlignment="1">
      <alignment horizontal="center" vertical="center"/>
    </xf>
    <xf numFmtId="0" fontId="1" fillId="28" borderId="6" xfId="0" applyFont="1" applyFill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5" fillId="21" borderId="88" xfId="0" applyFont="1" applyFill="1" applyBorder="1" applyAlignment="1">
      <alignment horizontal="center" vertical="center"/>
    </xf>
    <xf numFmtId="167" fontId="1" fillId="8" borderId="37" xfId="4" applyNumberFormat="1" applyFont="1" applyFill="1" applyBorder="1" applyAlignment="1">
      <alignment horizontal="center" vertical="center"/>
    </xf>
    <xf numFmtId="0" fontId="0" fillId="0" borderId="79" xfId="0" applyBorder="1" applyAlignment="1">
      <alignment horizontal="left"/>
    </xf>
    <xf numFmtId="0" fontId="0" fillId="0" borderId="75" xfId="0" applyBorder="1" applyAlignment="1">
      <alignment horizontal="left"/>
    </xf>
    <xf numFmtId="0" fontId="1" fillId="5" borderId="10" xfId="0" applyFont="1" applyFill="1" applyBorder="1" applyAlignment="1">
      <alignment horizontal="center" vertical="center"/>
    </xf>
    <xf numFmtId="42" fontId="1" fillId="5" borderId="39" xfId="0" applyNumberFormat="1" applyFont="1" applyFill="1" applyBorder="1" applyAlignment="1">
      <alignment horizontal="center" vertical="center"/>
    </xf>
    <xf numFmtId="0" fontId="1" fillId="0" borderId="105" xfId="0" applyFont="1" applyBorder="1" applyAlignment="1">
      <alignment vertical="center"/>
    </xf>
    <xf numFmtId="0" fontId="1" fillId="8" borderId="95" xfId="0" applyFont="1" applyFill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167" fontId="1" fillId="0" borderId="65" xfId="4" applyNumberFormat="1" applyFont="1" applyFill="1" applyBorder="1" applyAlignment="1">
      <alignment horizontal="center" vertical="center"/>
    </xf>
    <xf numFmtId="0" fontId="1" fillId="7" borderId="169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" fillId="8" borderId="112" xfId="0" applyFont="1" applyFill="1" applyBorder="1" applyAlignment="1">
      <alignment horizontal="center" vertical="center" wrapText="1"/>
    </xf>
    <xf numFmtId="0" fontId="1" fillId="7" borderId="173" xfId="0" applyFont="1" applyFill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167" fontId="1" fillId="0" borderId="34" xfId="4" applyNumberFormat="1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1" fontId="1" fillId="0" borderId="21" xfId="1" applyNumberFormat="1" applyFont="1" applyBorder="1" applyAlignment="1">
      <alignment horizontal="center" vertical="center"/>
    </xf>
    <xf numFmtId="0" fontId="1" fillId="0" borderId="99" xfId="0" applyFont="1" applyBorder="1" applyAlignment="1">
      <alignment horizontal="left" vertical="center"/>
    </xf>
    <xf numFmtId="167" fontId="1" fillId="20" borderId="65" xfId="4" applyNumberFormat="1" applyFont="1" applyFill="1" applyBorder="1" applyAlignment="1">
      <alignment horizontal="center" vertical="center"/>
    </xf>
    <xf numFmtId="167" fontId="1" fillId="20" borderId="37" xfId="4" applyNumberFormat="1" applyFont="1" applyFill="1" applyBorder="1" applyAlignment="1">
      <alignment horizontal="center" vertical="center"/>
    </xf>
    <xf numFmtId="0" fontId="1" fillId="20" borderId="148" xfId="0" applyFont="1" applyFill="1" applyBorder="1" applyAlignment="1">
      <alignment horizontal="left" vertical="center"/>
    </xf>
    <xf numFmtId="0" fontId="1" fillId="20" borderId="105" xfId="0" applyFont="1" applyFill="1" applyBorder="1" applyAlignment="1">
      <alignment vertical="center"/>
    </xf>
    <xf numFmtId="0" fontId="5" fillId="20" borderId="148" xfId="0" applyFont="1" applyFill="1" applyBorder="1" applyAlignment="1">
      <alignment horizontal="left" vertical="center"/>
    </xf>
    <xf numFmtId="167" fontId="5" fillId="20" borderId="65" xfId="4" applyNumberFormat="1" applyFont="1" applyFill="1" applyBorder="1" applyAlignment="1">
      <alignment horizontal="center" vertical="center"/>
    </xf>
    <xf numFmtId="0" fontId="5" fillId="20" borderId="99" xfId="0" applyFont="1" applyFill="1" applyBorder="1" applyAlignment="1">
      <alignment horizontal="left" vertical="center"/>
    </xf>
    <xf numFmtId="167" fontId="1" fillId="8" borderId="65" xfId="4" applyNumberFormat="1" applyFont="1" applyFill="1" applyBorder="1" applyAlignment="1">
      <alignment horizontal="center" vertical="center"/>
    </xf>
    <xf numFmtId="0" fontId="1" fillId="7" borderId="122" xfId="0" applyFont="1" applyFill="1" applyBorder="1" applyAlignment="1">
      <alignment horizontal="center" vertical="center"/>
    </xf>
    <xf numFmtId="0" fontId="1" fillId="7" borderId="83" xfId="0" applyFont="1" applyFill="1" applyBorder="1" applyAlignment="1">
      <alignment horizontal="center" vertical="center"/>
    </xf>
    <xf numFmtId="42" fontId="1" fillId="7" borderId="31" xfId="0" applyNumberFormat="1" applyFont="1" applyFill="1" applyBorder="1"/>
    <xf numFmtId="0" fontId="5" fillId="7" borderId="156" xfId="0" applyFont="1" applyFill="1" applyBorder="1" applyAlignment="1">
      <alignment vertical="center"/>
    </xf>
    <xf numFmtId="42" fontId="1" fillId="7" borderId="109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9" fontId="1" fillId="0" borderId="0" xfId="2" applyFont="1" applyAlignment="1"/>
    <xf numFmtId="0" fontId="1" fillId="0" borderId="0" xfId="0" applyFont="1"/>
    <xf numFmtId="0" fontId="5" fillId="22" borderId="145" xfId="0" applyFont="1" applyFill="1" applyBorder="1" applyAlignment="1">
      <alignment vertical="center"/>
    </xf>
    <xf numFmtId="0" fontId="1" fillId="8" borderId="77" xfId="0" applyFont="1" applyFill="1" applyBorder="1" applyAlignment="1">
      <alignment horizontal="center" vertical="center"/>
    </xf>
    <xf numFmtId="0" fontId="5" fillId="20" borderId="105" xfId="0" applyFont="1" applyFill="1" applyBorder="1" applyAlignment="1">
      <alignment horizontal="left" vertical="center"/>
    </xf>
    <xf numFmtId="1" fontId="1" fillId="0" borderId="0" xfId="1" applyNumberFormat="1" applyFont="1" applyBorder="1" applyAlignment="1">
      <alignment horizontal="center" vertical="center"/>
    </xf>
    <xf numFmtId="42" fontId="1" fillId="0" borderId="0" xfId="1" applyFont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7" borderId="77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vertical="center"/>
    </xf>
    <xf numFmtId="0" fontId="22" fillId="0" borderId="177" xfId="0" applyFont="1" applyBorder="1" applyAlignment="1">
      <alignment vertical="center"/>
    </xf>
    <xf numFmtId="42" fontId="22" fillId="0" borderId="178" xfId="1" applyFont="1" applyFill="1" applyBorder="1" applyAlignment="1">
      <alignment horizontal="center" vertical="center"/>
    </xf>
    <xf numFmtId="42" fontId="1" fillId="7" borderId="21" xfId="0" applyNumberFormat="1" applyFont="1" applyFill="1" applyBorder="1" applyAlignment="1">
      <alignment vertical="center"/>
    </xf>
    <xf numFmtId="0" fontId="1" fillId="7" borderId="45" xfId="0" applyFont="1" applyFill="1" applyBorder="1" applyAlignment="1">
      <alignment horizontal="center" vertical="center"/>
    </xf>
    <xf numFmtId="17" fontId="1" fillId="0" borderId="37" xfId="0" applyNumberFormat="1" applyFont="1" applyBorder="1" applyAlignment="1">
      <alignment horizontal="center" vertical="center"/>
    </xf>
    <xf numFmtId="0" fontId="1" fillId="20" borderId="112" xfId="0" applyFont="1" applyFill="1" applyBorder="1" applyAlignment="1">
      <alignment horizontal="center" vertical="center" wrapText="1"/>
    </xf>
    <xf numFmtId="0" fontId="5" fillId="25" borderId="8" xfId="0" applyFont="1" applyFill="1" applyBorder="1" applyAlignment="1">
      <alignment horizontal="left" vertical="center"/>
    </xf>
    <xf numFmtId="0" fontId="1" fillId="0" borderId="111" xfId="0" applyFont="1" applyBorder="1" applyAlignment="1">
      <alignment horizontal="center" vertical="center"/>
    </xf>
    <xf numFmtId="0" fontId="5" fillId="35" borderId="55" xfId="0" applyFont="1" applyFill="1" applyBorder="1" applyAlignment="1">
      <alignment horizontal="center" vertical="center"/>
    </xf>
    <xf numFmtId="42" fontId="1" fillId="0" borderId="39" xfId="0" applyNumberFormat="1" applyFont="1" applyBorder="1" applyAlignment="1">
      <alignment horizontal="center" vertical="center"/>
    </xf>
    <xf numFmtId="42" fontId="1" fillId="29" borderId="39" xfId="0" applyNumberFormat="1" applyFont="1" applyFill="1" applyBorder="1" applyAlignment="1">
      <alignment horizontal="center" vertical="center"/>
    </xf>
    <xf numFmtId="42" fontId="1" fillId="26" borderId="39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36" borderId="55" xfId="0" applyFont="1" applyFill="1" applyBorder="1" applyAlignment="1">
      <alignment horizontal="center" vertical="center"/>
    </xf>
    <xf numFmtId="0" fontId="1" fillId="0" borderId="179" xfId="0" applyFont="1" applyBorder="1" applyAlignment="1">
      <alignment vertical="center"/>
    </xf>
    <xf numFmtId="0" fontId="1" fillId="0" borderId="143" xfId="0" applyFont="1" applyBorder="1" applyAlignment="1">
      <alignment vertical="center"/>
    </xf>
    <xf numFmtId="0" fontId="1" fillId="0" borderId="146" xfId="0" applyFont="1" applyBorder="1" applyAlignment="1">
      <alignment vertical="center"/>
    </xf>
    <xf numFmtId="0" fontId="1" fillId="0" borderId="180" xfId="0" applyFont="1" applyBorder="1" applyAlignment="1">
      <alignment vertical="center"/>
    </xf>
    <xf numFmtId="0" fontId="5" fillId="34" borderId="88" xfId="0" applyFont="1" applyFill="1" applyBorder="1" applyAlignment="1">
      <alignment horizontal="center" vertical="center"/>
    </xf>
    <xf numFmtId="0" fontId="7" fillId="20" borderId="107" xfId="0" applyFont="1" applyFill="1" applyBorder="1" applyAlignment="1">
      <alignment vertical="center"/>
    </xf>
    <xf numFmtId="0" fontId="7" fillId="10" borderId="107" xfId="0" applyFont="1" applyFill="1" applyBorder="1" applyAlignment="1">
      <alignment vertical="center"/>
    </xf>
    <xf numFmtId="1" fontId="14" fillId="10" borderId="3" xfId="0" applyNumberFormat="1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39" fillId="33" borderId="6" xfId="0" applyFont="1" applyFill="1" applyBorder="1" applyAlignment="1">
      <alignment horizontal="left" vertical="center"/>
    </xf>
    <xf numFmtId="0" fontId="39" fillId="33" borderId="11" xfId="0" applyFont="1" applyFill="1" applyBorder="1" applyAlignment="1">
      <alignment horizontal="left" vertical="center"/>
    </xf>
    <xf numFmtId="0" fontId="1" fillId="0" borderId="30" xfId="0" applyFont="1" applyBorder="1" applyAlignment="1">
      <alignment vertical="center"/>
    </xf>
    <xf numFmtId="0" fontId="1" fillId="5" borderId="73" xfId="0" applyFont="1" applyFill="1" applyBorder="1" applyAlignment="1">
      <alignment vertical="center"/>
    </xf>
    <xf numFmtId="0" fontId="1" fillId="2" borderId="91" xfId="0" applyFont="1" applyFill="1" applyBorder="1" applyAlignment="1">
      <alignment vertical="center"/>
    </xf>
    <xf numFmtId="0" fontId="5" fillId="20" borderId="6" xfId="0" applyFont="1" applyFill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1" fillId="0" borderId="136" xfId="0" applyFont="1" applyBorder="1" applyAlignment="1">
      <alignment horizontal="left" vertical="center"/>
    </xf>
    <xf numFmtId="42" fontId="5" fillId="0" borderId="137" xfId="0" applyNumberFormat="1" applyFont="1" applyBorder="1" applyAlignment="1">
      <alignment horizontal="center" vertical="center"/>
    </xf>
    <xf numFmtId="0" fontId="1" fillId="8" borderId="48" xfId="0" applyFont="1" applyFill="1" applyBorder="1" applyAlignment="1">
      <alignment horizontal="left" vertical="center"/>
    </xf>
    <xf numFmtId="0" fontId="1" fillId="5" borderId="111" xfId="0" applyFont="1" applyFill="1" applyBorder="1" applyAlignment="1">
      <alignment horizontal="left" vertical="center"/>
    </xf>
    <xf numFmtId="42" fontId="1" fillId="6" borderId="37" xfId="1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42" fontId="22" fillId="0" borderId="31" xfId="1" applyFont="1" applyBorder="1" applyAlignment="1">
      <alignment horizontal="center" vertical="center"/>
    </xf>
    <xf numFmtId="42" fontId="1" fillId="11" borderId="65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5" borderId="8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vertical="center"/>
    </xf>
    <xf numFmtId="0" fontId="5" fillId="0" borderId="80" xfId="0" applyFont="1" applyBorder="1" applyAlignment="1">
      <alignment horizontal="left" vertical="center"/>
    </xf>
    <xf numFmtId="0" fontId="5" fillId="9" borderId="16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left" vertical="center"/>
    </xf>
    <xf numFmtId="42" fontId="1" fillId="9" borderId="39" xfId="0" applyNumberFormat="1" applyFont="1" applyFill="1" applyBorder="1" applyAlignment="1">
      <alignment horizontal="center" vertical="center"/>
    </xf>
    <xf numFmtId="0" fontId="1" fillId="5" borderId="181" xfId="0" applyFont="1" applyFill="1" applyBorder="1" applyAlignment="1">
      <alignment horizontal="center" vertical="center"/>
    </xf>
    <xf numFmtId="0" fontId="1" fillId="5" borderId="180" xfId="0" applyFont="1" applyFill="1" applyBorder="1" applyAlignment="1">
      <alignment horizontal="left" vertical="center"/>
    </xf>
    <xf numFmtId="0" fontId="5" fillId="5" borderId="59" xfId="0" applyFont="1" applyFill="1" applyBorder="1" applyAlignment="1">
      <alignment vertical="center"/>
    </xf>
    <xf numFmtId="42" fontId="1" fillId="20" borderId="155" xfId="0" applyNumberFormat="1" applyFont="1" applyFill="1" applyBorder="1" applyAlignment="1">
      <alignment horizontal="center" vertical="center"/>
    </xf>
    <xf numFmtId="42" fontId="1" fillId="0" borderId="53" xfId="0" applyNumberFormat="1" applyFont="1" applyBorder="1" applyAlignment="1">
      <alignment vertical="center"/>
    </xf>
    <xf numFmtId="0" fontId="1" fillId="5" borderId="81" xfId="0" applyFont="1" applyFill="1" applyBorder="1" applyAlignment="1">
      <alignment horizontal="center" vertical="center"/>
    </xf>
    <xf numFmtId="42" fontId="1" fillId="8" borderId="92" xfId="0" applyNumberFormat="1" applyFont="1" applyFill="1" applyBorder="1" applyAlignment="1">
      <alignment horizontal="center" vertical="center"/>
    </xf>
    <xf numFmtId="42" fontId="1" fillId="8" borderId="68" xfId="0" applyNumberFormat="1" applyFont="1" applyFill="1" applyBorder="1" applyAlignment="1">
      <alignment horizontal="center" vertical="center"/>
    </xf>
    <xf numFmtId="0" fontId="5" fillId="8" borderId="111" xfId="0" applyFont="1" applyFill="1" applyBorder="1" applyAlignment="1">
      <alignment horizontal="left" vertical="center"/>
    </xf>
    <xf numFmtId="1" fontId="5" fillId="0" borderId="0" xfId="1" applyNumberFormat="1" applyFont="1" applyAlignment="1">
      <alignment horizontal="center" vertical="center"/>
    </xf>
    <xf numFmtId="1" fontId="1" fillId="0" borderId="21" xfId="0" applyNumberFormat="1" applyFont="1" applyBorder="1" applyAlignment="1">
      <alignment vertical="center"/>
    </xf>
    <xf numFmtId="1" fontId="5" fillId="0" borderId="0" xfId="1" applyNumberFormat="1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6" fillId="0" borderId="21" xfId="0" applyFont="1" applyBorder="1" applyAlignment="1">
      <alignment horizontal="center" vertical="center"/>
    </xf>
    <xf numFmtId="0" fontId="29" fillId="3" borderId="161" xfId="0" applyFont="1" applyFill="1" applyBorder="1" applyAlignment="1">
      <alignment horizontal="center" vertical="center"/>
    </xf>
    <xf numFmtId="0" fontId="29" fillId="24" borderId="165" xfId="0" applyFont="1" applyFill="1" applyBorder="1" applyAlignment="1">
      <alignment horizontal="center" vertical="center"/>
    </xf>
    <xf numFmtId="0" fontId="29" fillId="4" borderId="164" xfId="0" applyFont="1" applyFill="1" applyBorder="1" applyAlignment="1">
      <alignment horizontal="center" vertical="center"/>
    </xf>
    <xf numFmtId="0" fontId="29" fillId="24" borderId="168" xfId="0" applyFont="1" applyFill="1" applyBorder="1" applyAlignment="1">
      <alignment horizontal="center" vertical="center"/>
    </xf>
    <xf numFmtId="0" fontId="36" fillId="0" borderId="21" xfId="0" applyFont="1" applyBorder="1" applyAlignment="1">
      <alignment vertical="center"/>
    </xf>
    <xf numFmtId="0" fontId="36" fillId="4" borderId="108" xfId="0" applyFont="1" applyFill="1" applyBorder="1" applyAlignment="1">
      <alignment horizontal="center" vertical="center" wrapText="1"/>
    </xf>
    <xf numFmtId="0" fontId="29" fillId="4" borderId="106" xfId="0" applyFont="1" applyFill="1" applyBorder="1" applyAlignment="1">
      <alignment horizontal="center" vertical="center"/>
    </xf>
    <xf numFmtId="0" fontId="36" fillId="4" borderId="104" xfId="0" applyFont="1" applyFill="1" applyBorder="1" applyAlignment="1">
      <alignment horizontal="center" vertical="center" wrapText="1"/>
    </xf>
    <xf numFmtId="0" fontId="36" fillId="4" borderId="138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29" fillId="4" borderId="21" xfId="0" applyFont="1" applyFill="1" applyBorder="1" applyAlignment="1">
      <alignment horizontal="center" vertical="center"/>
    </xf>
    <xf numFmtId="0" fontId="36" fillId="4" borderId="103" xfId="0" applyFont="1" applyFill="1" applyBorder="1" applyAlignment="1">
      <alignment horizontal="center" vertical="center" wrapText="1"/>
    </xf>
    <xf numFmtId="0" fontId="36" fillId="4" borderId="19" xfId="0" applyFont="1" applyFill="1" applyBorder="1" applyAlignment="1">
      <alignment horizontal="center" vertical="center" wrapText="1"/>
    </xf>
    <xf numFmtId="0" fontId="36" fillId="0" borderId="102" xfId="0" applyFont="1" applyBorder="1" applyAlignment="1">
      <alignment horizontal="center" vertical="center"/>
    </xf>
    <xf numFmtId="0" fontId="36" fillId="0" borderId="106" xfId="0" applyFont="1" applyBorder="1" applyAlignment="1">
      <alignment horizontal="center" vertical="center"/>
    </xf>
    <xf numFmtId="0" fontId="36" fillId="0" borderId="104" xfId="0" applyFont="1" applyBorder="1" applyAlignment="1">
      <alignment horizontal="center" vertical="center"/>
    </xf>
    <xf numFmtId="0" fontId="36" fillId="0" borderId="105" xfId="0" applyFont="1" applyBorder="1" applyAlignment="1">
      <alignment horizontal="center" vertical="center"/>
    </xf>
    <xf numFmtId="0" fontId="36" fillId="0" borderId="103" xfId="0" applyFont="1" applyBorder="1" applyAlignment="1">
      <alignment horizontal="center" vertical="center"/>
    </xf>
    <xf numFmtId="0" fontId="36" fillId="0" borderId="107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84" xfId="0" applyFont="1" applyBorder="1" applyAlignment="1">
      <alignment horizontal="center" vertical="center"/>
    </xf>
    <xf numFmtId="0" fontId="36" fillId="0" borderId="0" xfId="0" applyFont="1"/>
    <xf numFmtId="0" fontId="36" fillId="0" borderId="21" xfId="0" applyFont="1" applyBorder="1"/>
    <xf numFmtId="42" fontId="1" fillId="20" borderId="92" xfId="0" applyNumberFormat="1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1" fillId="20" borderId="48" xfId="0" applyFont="1" applyFill="1" applyBorder="1" applyAlignment="1">
      <alignment horizontal="left" vertical="center"/>
    </xf>
    <xf numFmtId="42" fontId="0" fillId="0" borderId="0" xfId="0" applyNumberFormat="1"/>
    <xf numFmtId="42" fontId="26" fillId="0" borderId="0" xfId="0" applyNumberFormat="1" applyFont="1"/>
    <xf numFmtId="0" fontId="10" fillId="0" borderId="0" xfId="0" applyFont="1" applyAlignment="1">
      <alignment horizontal="right"/>
    </xf>
    <xf numFmtId="0" fontId="1" fillId="18" borderId="169" xfId="0" applyFont="1" applyFill="1" applyBorder="1" applyAlignment="1">
      <alignment horizontal="center" vertical="center"/>
    </xf>
    <xf numFmtId="0" fontId="5" fillId="20" borderId="84" xfId="0" applyFont="1" applyFill="1" applyBorder="1" applyAlignment="1">
      <alignment horizontal="left" vertical="center"/>
    </xf>
    <xf numFmtId="167" fontId="5" fillId="20" borderId="37" xfId="4" applyNumberFormat="1" applyFont="1" applyFill="1" applyBorder="1" applyAlignment="1">
      <alignment horizontal="center" vertical="center"/>
    </xf>
    <xf numFmtId="0" fontId="5" fillId="8" borderId="118" xfId="0" applyFont="1" applyFill="1" applyBorder="1" applyAlignment="1">
      <alignment vertical="center"/>
    </xf>
    <xf numFmtId="0" fontId="0" fillId="0" borderId="103" xfId="0" applyBorder="1" applyAlignment="1">
      <alignment horizontal="left"/>
    </xf>
    <xf numFmtId="0" fontId="5" fillId="31" borderId="182" xfId="0" applyFont="1" applyFill="1" applyBorder="1" applyAlignment="1">
      <alignment horizontal="center" vertical="center"/>
    </xf>
    <xf numFmtId="0" fontId="1" fillId="0" borderId="183" xfId="0" applyFont="1" applyBorder="1" applyAlignment="1">
      <alignment horizontal="center" vertical="center"/>
    </xf>
    <xf numFmtId="42" fontId="1" fillId="0" borderId="184" xfId="0" applyNumberFormat="1" applyFont="1" applyBorder="1" applyAlignment="1">
      <alignment horizontal="left" vertical="center"/>
    </xf>
    <xf numFmtId="0" fontId="1" fillId="5" borderId="185" xfId="0" applyFont="1" applyFill="1" applyBorder="1" applyAlignment="1">
      <alignment horizontal="left" vertical="center"/>
    </xf>
    <xf numFmtId="0" fontId="1" fillId="0" borderId="114" xfId="0" applyFont="1" applyBorder="1" applyAlignment="1">
      <alignment horizontal="left" vertical="center"/>
    </xf>
    <xf numFmtId="0" fontId="1" fillId="5" borderId="44" xfId="0" applyFont="1" applyFill="1" applyBorder="1" applyAlignment="1">
      <alignment horizontal="left" vertical="center"/>
    </xf>
    <xf numFmtId="0" fontId="1" fillId="0" borderId="58" xfId="0" applyFont="1" applyBorder="1" applyAlignment="1">
      <alignment horizontal="left" vertical="center"/>
    </xf>
    <xf numFmtId="0" fontId="5" fillId="20" borderId="58" xfId="0" applyFont="1" applyFill="1" applyBorder="1" applyAlignment="1">
      <alignment horizontal="left" vertical="center"/>
    </xf>
    <xf numFmtId="0" fontId="22" fillId="8" borderId="24" xfId="0" applyFont="1" applyFill="1" applyBorder="1"/>
    <xf numFmtId="0" fontId="5" fillId="0" borderId="58" xfId="0" applyFont="1" applyBorder="1" applyAlignment="1">
      <alignment horizontal="left" vertical="center"/>
    </xf>
    <xf numFmtId="0" fontId="22" fillId="8" borderId="10" xfId="0" applyFont="1" applyFill="1" applyBorder="1"/>
    <xf numFmtId="0" fontId="22" fillId="0" borderId="24" xfId="0" applyFont="1" applyBorder="1"/>
    <xf numFmtId="0" fontId="1" fillId="0" borderId="24" xfId="0" applyFont="1" applyBorder="1" applyAlignment="1">
      <alignment horizontal="left" vertical="center"/>
    </xf>
    <xf numFmtId="0" fontId="1" fillId="0" borderId="126" xfId="0" applyFont="1" applyBorder="1" applyAlignment="1">
      <alignment horizontal="left" vertical="center"/>
    </xf>
    <xf numFmtId="0" fontId="22" fillId="0" borderId="171" xfId="0" applyFont="1" applyBorder="1"/>
    <xf numFmtId="0" fontId="1" fillId="5" borderId="39" xfId="0" applyFont="1" applyFill="1" applyBorder="1" applyAlignment="1">
      <alignment horizontal="center" vertical="center"/>
    </xf>
    <xf numFmtId="0" fontId="22" fillId="8" borderId="152" xfId="0" applyFont="1" applyFill="1" applyBorder="1"/>
    <xf numFmtId="0" fontId="1" fillId="8" borderId="87" xfId="0" applyFont="1" applyFill="1" applyBorder="1" applyAlignment="1">
      <alignment vertical="center"/>
    </xf>
    <xf numFmtId="0" fontId="1" fillId="8" borderId="79" xfId="0" applyFont="1" applyFill="1" applyBorder="1" applyAlignment="1">
      <alignment vertical="center"/>
    </xf>
    <xf numFmtId="0" fontId="1" fillId="8" borderId="126" xfId="0" applyFont="1" applyFill="1" applyBorder="1" applyAlignment="1">
      <alignment horizontal="left" vertical="center"/>
    </xf>
    <xf numFmtId="0" fontId="22" fillId="8" borderId="59" xfId="0" applyFont="1" applyFill="1" applyBorder="1"/>
    <xf numFmtId="0" fontId="1" fillId="8" borderId="144" xfId="0" applyFont="1" applyFill="1" applyBorder="1" applyAlignment="1">
      <alignment vertical="center"/>
    </xf>
    <xf numFmtId="0" fontId="1" fillId="7" borderId="33" xfId="0" applyFont="1" applyFill="1" applyBorder="1" applyAlignment="1">
      <alignment vertical="center"/>
    </xf>
    <xf numFmtId="0" fontId="5" fillId="8" borderId="59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left" vertical="center"/>
    </xf>
    <xf numFmtId="0" fontId="1" fillId="9" borderId="116" xfId="0" applyFont="1" applyFill="1" applyBorder="1" applyAlignment="1">
      <alignment horizontal="center" vertical="center"/>
    </xf>
    <xf numFmtId="0" fontId="1" fillId="5" borderId="169" xfId="0" applyFont="1" applyFill="1" applyBorder="1" applyAlignment="1">
      <alignment horizontal="center" vertical="center"/>
    </xf>
    <xf numFmtId="42" fontId="1" fillId="5" borderId="44" xfId="0" applyNumberFormat="1" applyFont="1" applyFill="1" applyBorder="1" applyAlignment="1">
      <alignment horizontal="center" vertical="center"/>
    </xf>
    <xf numFmtId="0" fontId="1" fillId="5" borderId="143" xfId="0" applyFont="1" applyFill="1" applyBorder="1" applyAlignment="1">
      <alignment horizontal="left" vertical="center"/>
    </xf>
    <xf numFmtId="0" fontId="1" fillId="0" borderId="189" xfId="0" applyFont="1" applyBorder="1" applyAlignment="1">
      <alignment vertical="center"/>
    </xf>
    <xf numFmtId="0" fontId="1" fillId="8" borderId="80" xfId="0" applyFont="1" applyFill="1" applyBorder="1" applyAlignment="1">
      <alignment horizontal="center" vertical="center"/>
    </xf>
    <xf numFmtId="0" fontId="1" fillId="8" borderId="80" xfId="0" applyFont="1" applyFill="1" applyBorder="1" applyAlignment="1">
      <alignment horizontal="left" vertical="center"/>
    </xf>
    <xf numFmtId="0" fontId="5" fillId="10" borderId="84" xfId="0" applyFont="1" applyFill="1" applyBorder="1" applyAlignment="1">
      <alignment horizontal="left" vertical="center"/>
    </xf>
    <xf numFmtId="0" fontId="5" fillId="10" borderId="59" xfId="0" applyFont="1" applyFill="1" applyBorder="1" applyAlignment="1">
      <alignment vertical="center"/>
    </xf>
    <xf numFmtId="167" fontId="5" fillId="10" borderId="37" xfId="4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vertical="center" wrapText="1"/>
    </xf>
    <xf numFmtId="0" fontId="5" fillId="0" borderId="190" xfId="0" applyFont="1" applyBorder="1" applyAlignment="1">
      <alignment vertical="center" wrapText="1"/>
    </xf>
    <xf numFmtId="0" fontId="5" fillId="0" borderId="75" xfId="0" applyFont="1" applyBorder="1" applyAlignment="1">
      <alignment vertical="center" wrapText="1"/>
    </xf>
    <xf numFmtId="0" fontId="1" fillId="0" borderId="191" xfId="0" applyFont="1" applyBorder="1" applyAlignment="1">
      <alignment vertical="center"/>
    </xf>
    <xf numFmtId="0" fontId="5" fillId="0" borderId="94" xfId="0" applyFont="1" applyBorder="1" applyAlignment="1">
      <alignment vertical="center" wrapText="1"/>
    </xf>
    <xf numFmtId="0" fontId="5" fillId="0" borderId="127" xfId="0" applyFont="1" applyBorder="1" applyAlignment="1">
      <alignment vertical="center" wrapText="1"/>
    </xf>
    <xf numFmtId="0" fontId="1" fillId="0" borderId="192" xfId="0" applyFont="1" applyBorder="1" applyAlignment="1">
      <alignment vertical="center" wrapText="1"/>
    </xf>
    <xf numFmtId="0" fontId="1" fillId="0" borderId="175" xfId="0" applyFont="1" applyBorder="1" applyAlignment="1">
      <alignment vertical="center" wrapText="1"/>
    </xf>
    <xf numFmtId="0" fontId="1" fillId="0" borderId="174" xfId="0" applyFont="1" applyBorder="1" applyAlignment="1">
      <alignment vertical="center" wrapText="1"/>
    </xf>
    <xf numFmtId="0" fontId="1" fillId="0" borderId="75" xfId="0" applyFont="1" applyBorder="1" applyAlignment="1">
      <alignment vertical="center" wrapText="1"/>
    </xf>
    <xf numFmtId="0" fontId="1" fillId="0" borderId="59" xfId="0" applyFont="1" applyBorder="1" applyAlignment="1">
      <alignment vertical="center" wrapText="1"/>
    </xf>
    <xf numFmtId="0" fontId="5" fillId="8" borderId="127" xfId="0" applyFont="1" applyFill="1" applyBorder="1" applyAlignment="1">
      <alignment vertical="center" wrapText="1"/>
    </xf>
    <xf numFmtId="0" fontId="1" fillId="8" borderId="33" xfId="0" applyFont="1" applyFill="1" applyBorder="1" applyAlignment="1">
      <alignment vertical="center" wrapText="1"/>
    </xf>
    <xf numFmtId="42" fontId="1" fillId="8" borderId="58" xfId="0" applyNumberFormat="1" applyFont="1" applyFill="1" applyBorder="1" applyAlignment="1">
      <alignment horizontal="center" vertical="center"/>
    </xf>
    <xf numFmtId="1" fontId="5" fillId="8" borderId="66" xfId="0" applyNumberFormat="1" applyFont="1" applyFill="1" applyBorder="1" applyAlignment="1">
      <alignment horizontal="center" vertical="center"/>
    </xf>
    <xf numFmtId="1" fontId="5" fillId="7" borderId="40" xfId="0" applyNumberFormat="1" applyFont="1" applyFill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0" fontId="1" fillId="27" borderId="145" xfId="0" applyFont="1" applyFill="1" applyBorder="1" applyAlignment="1">
      <alignment vertical="center"/>
    </xf>
    <xf numFmtId="165" fontId="1" fillId="9" borderId="44" xfId="0" applyNumberFormat="1" applyFont="1" applyFill="1" applyBorder="1" applyAlignment="1">
      <alignment horizontal="center" vertical="center"/>
    </xf>
    <xf numFmtId="0" fontId="1" fillId="5" borderId="193" xfId="0" applyFont="1" applyFill="1" applyBorder="1" applyAlignment="1">
      <alignment horizontal="center" vertical="center"/>
    </xf>
    <xf numFmtId="0" fontId="1" fillId="15" borderId="132" xfId="0" applyFont="1" applyFill="1" applyBorder="1" applyAlignment="1">
      <alignment horizontal="left" vertical="center"/>
    </xf>
    <xf numFmtId="0" fontId="1" fillId="5" borderId="194" xfId="0" applyFont="1" applyFill="1" applyBorder="1" applyAlignment="1">
      <alignment horizontal="left" vertical="center"/>
    </xf>
    <xf numFmtId="0" fontId="1" fillId="0" borderId="192" xfId="0" applyFont="1" applyBorder="1" applyAlignment="1">
      <alignment horizontal="center" vertical="center"/>
    </xf>
    <xf numFmtId="0" fontId="1" fillId="0" borderId="37" xfId="0" applyFont="1" applyBorder="1" applyAlignment="1">
      <alignment horizontal="left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58" xfId="0" applyFont="1" applyFill="1" applyBorder="1" applyAlignment="1">
      <alignment horizontal="left" vertical="center"/>
    </xf>
    <xf numFmtId="0" fontId="1" fillId="5" borderId="114" xfId="0" applyFont="1" applyFill="1" applyBorder="1" applyAlignment="1">
      <alignment horizontal="left" vertical="center"/>
    </xf>
    <xf numFmtId="0" fontId="1" fillId="5" borderId="101" xfId="0" applyFont="1" applyFill="1" applyBorder="1" applyAlignment="1">
      <alignment horizontal="center" vertical="center"/>
    </xf>
    <xf numFmtId="0" fontId="1" fillId="5" borderId="196" xfId="0" applyFont="1" applyFill="1" applyBorder="1" applyAlignment="1">
      <alignment horizontal="left" vertical="center"/>
    </xf>
    <xf numFmtId="0" fontId="34" fillId="20" borderId="11" xfId="0" applyFont="1" applyFill="1" applyBorder="1" applyAlignment="1">
      <alignment horizontal="left" vertical="center"/>
    </xf>
    <xf numFmtId="0" fontId="1" fillId="5" borderId="73" xfId="0" applyFont="1" applyFill="1" applyBorder="1" applyAlignment="1">
      <alignment horizontal="left" vertical="center"/>
    </xf>
    <xf numFmtId="0" fontId="5" fillId="0" borderId="28" xfId="0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165" fontId="1" fillId="9" borderId="41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5" fillId="0" borderId="41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1" fillId="0" borderId="57" xfId="0" applyNumberFormat="1" applyFont="1" applyBorder="1" applyAlignment="1">
      <alignment horizontal="center" vertical="center"/>
    </xf>
    <xf numFmtId="165" fontId="5" fillId="0" borderId="88" xfId="1" applyNumberFormat="1" applyFont="1" applyBorder="1" applyAlignment="1">
      <alignment horizontal="center" vertical="center"/>
    </xf>
    <xf numFmtId="165" fontId="5" fillId="5" borderId="44" xfId="1" applyNumberFormat="1" applyFont="1" applyFill="1" applyBorder="1" applyAlignment="1">
      <alignment horizontal="center" vertical="center"/>
    </xf>
    <xf numFmtId="165" fontId="5" fillId="0" borderId="58" xfId="1" applyNumberFormat="1" applyFont="1" applyBorder="1" applyAlignment="1">
      <alignment horizontal="center" vertical="center"/>
    </xf>
    <xf numFmtId="165" fontId="5" fillId="37" borderId="132" xfId="1" applyNumberFormat="1" applyFont="1" applyFill="1" applyBorder="1" applyAlignment="1">
      <alignment horizontal="center" vertical="center"/>
    </xf>
    <xf numFmtId="165" fontId="5" fillId="0" borderId="37" xfId="1" applyNumberFormat="1" applyFont="1" applyBorder="1" applyAlignment="1">
      <alignment horizontal="center" vertical="center"/>
    </xf>
    <xf numFmtId="165" fontId="5" fillId="5" borderId="58" xfId="1" applyNumberFormat="1" applyFont="1" applyFill="1" applyBorder="1" applyAlignment="1">
      <alignment horizontal="center" vertical="center"/>
    </xf>
    <xf numFmtId="165" fontId="5" fillId="26" borderId="58" xfId="1" applyNumberFormat="1" applyFont="1" applyFill="1" applyBorder="1" applyAlignment="1">
      <alignment horizontal="center" vertical="center"/>
    </xf>
    <xf numFmtId="165" fontId="5" fillId="29" borderId="98" xfId="1" applyNumberFormat="1" applyFont="1" applyFill="1" applyBorder="1" applyAlignment="1">
      <alignment horizontal="center" vertical="center"/>
    </xf>
    <xf numFmtId="0" fontId="1" fillId="12" borderId="73" xfId="0" applyFont="1" applyFill="1" applyBorder="1" applyAlignment="1">
      <alignment vertical="center"/>
    </xf>
    <xf numFmtId="0" fontId="1" fillId="9" borderId="73" xfId="0" applyFont="1" applyFill="1" applyBorder="1" applyAlignment="1">
      <alignment vertical="center"/>
    </xf>
    <xf numFmtId="0" fontId="1" fillId="2" borderId="73" xfId="0" applyFont="1" applyFill="1" applyBorder="1" applyAlignment="1">
      <alignment vertical="center"/>
    </xf>
    <xf numFmtId="0" fontId="5" fillId="16" borderId="73" xfId="0" applyFont="1" applyFill="1" applyBorder="1" applyAlignment="1">
      <alignment vertical="center"/>
    </xf>
    <xf numFmtId="0" fontId="1" fillId="0" borderId="73" xfId="0" applyFont="1" applyBorder="1" applyAlignment="1">
      <alignment vertical="center"/>
    </xf>
    <xf numFmtId="0" fontId="1" fillId="20" borderId="73" xfId="0" applyFont="1" applyFill="1" applyBorder="1" applyAlignment="1">
      <alignment vertical="center"/>
    </xf>
    <xf numFmtId="0" fontId="1" fillId="38" borderId="91" xfId="0" applyFont="1" applyFill="1" applyBorder="1" applyAlignment="1">
      <alignment vertical="center"/>
    </xf>
    <xf numFmtId="0" fontId="1" fillId="25" borderId="73" xfId="0" applyFont="1" applyFill="1" applyBorder="1" applyAlignment="1">
      <alignment vertical="center"/>
    </xf>
    <xf numFmtId="0" fontId="1" fillId="22" borderId="73" xfId="0" applyFont="1" applyFill="1" applyBorder="1" applyAlignment="1">
      <alignment vertical="center"/>
    </xf>
    <xf numFmtId="0" fontId="5" fillId="35" borderId="88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5" fillId="34" borderId="55" xfId="0" applyNumberFormat="1" applyFont="1" applyFill="1" applyBorder="1" applyAlignment="1">
      <alignment horizontal="center" vertical="center"/>
    </xf>
    <xf numFmtId="165" fontId="1" fillId="5" borderId="41" xfId="1" applyNumberFormat="1" applyFont="1" applyFill="1" applyBorder="1" applyAlignment="1">
      <alignment horizontal="center" vertical="center"/>
    </xf>
    <xf numFmtId="165" fontId="1" fillId="26" borderId="41" xfId="1" applyNumberFormat="1" applyFont="1" applyFill="1" applyBorder="1" applyAlignment="1">
      <alignment horizontal="center" vertical="center"/>
    </xf>
    <xf numFmtId="165" fontId="1" fillId="0" borderId="68" xfId="1" applyNumberFormat="1" applyFont="1" applyBorder="1" applyAlignment="1">
      <alignment horizontal="center" vertical="center"/>
    </xf>
    <xf numFmtId="165" fontId="1" fillId="18" borderId="41" xfId="1" applyNumberFormat="1" applyFont="1" applyFill="1" applyBorder="1" applyAlignment="1">
      <alignment horizontal="center" vertical="center"/>
    </xf>
    <xf numFmtId="165" fontId="1" fillId="9" borderId="83" xfId="1" applyNumberFormat="1" applyFont="1" applyFill="1" applyBorder="1" applyAlignment="1">
      <alignment horizontal="center" vertical="center"/>
    </xf>
    <xf numFmtId="165" fontId="1" fillId="5" borderId="50" xfId="1" applyNumberFormat="1" applyFont="1" applyFill="1" applyBorder="1" applyAlignment="1">
      <alignment horizontal="center" vertical="center"/>
    </xf>
    <xf numFmtId="165" fontId="1" fillId="9" borderId="109" xfId="1" applyNumberFormat="1" applyFont="1" applyFill="1" applyBorder="1" applyAlignment="1">
      <alignment horizontal="center" vertical="center"/>
    </xf>
    <xf numFmtId="165" fontId="1" fillId="0" borderId="68" xfId="1" applyNumberFormat="1" applyFont="1" applyFill="1" applyBorder="1" applyAlignment="1">
      <alignment horizontal="center" vertical="center"/>
    </xf>
    <xf numFmtId="165" fontId="1" fillId="25" borderId="50" xfId="1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36" xfId="0" applyNumberFormat="1" applyFont="1" applyBorder="1" applyAlignment="1">
      <alignment horizontal="center" vertical="center"/>
    </xf>
    <xf numFmtId="42" fontId="1" fillId="0" borderId="28" xfId="0" applyNumberFormat="1" applyFont="1" applyBorder="1" applyAlignment="1">
      <alignment horizontal="center" vertical="center"/>
    </xf>
    <xf numFmtId="42" fontId="1" fillId="0" borderId="21" xfId="0" applyNumberFormat="1" applyFont="1" applyBorder="1" applyAlignment="1">
      <alignment horizontal="center" vertical="center"/>
    </xf>
    <xf numFmtId="0" fontId="1" fillId="7" borderId="21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8" borderId="32" xfId="0" applyFont="1" applyFill="1" applyBorder="1" applyAlignment="1">
      <alignment horizontal="center" vertical="center"/>
    </xf>
    <xf numFmtId="0" fontId="1" fillId="8" borderId="9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0" borderId="6" xfId="0" applyFont="1" applyFill="1" applyBorder="1" applyAlignment="1">
      <alignment horizontal="center" vertical="center"/>
    </xf>
    <xf numFmtId="0" fontId="5" fillId="0" borderId="118" xfId="0" applyFont="1" applyBorder="1" applyAlignment="1">
      <alignment vertical="center"/>
    </xf>
    <xf numFmtId="0" fontId="1" fillId="0" borderId="59" xfId="0" applyFont="1" applyBorder="1" applyAlignment="1">
      <alignment horizontal="center"/>
    </xf>
    <xf numFmtId="0" fontId="1" fillId="8" borderId="59" xfId="0" applyFont="1" applyFill="1" applyBorder="1" applyAlignment="1">
      <alignment horizontal="center" vertical="center"/>
    </xf>
    <xf numFmtId="165" fontId="5" fillId="21" borderId="55" xfId="0" applyNumberFormat="1" applyFont="1" applyFill="1" applyBorder="1" applyAlignment="1">
      <alignment horizontal="center" vertical="center"/>
    </xf>
    <xf numFmtId="1" fontId="5" fillId="16" borderId="40" xfId="0" applyNumberFormat="1" applyFon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165" fontId="1" fillId="8" borderId="41" xfId="0" applyNumberFormat="1" applyFont="1" applyFill="1" applyBorder="1" applyAlignment="1">
      <alignment horizontal="center" vertical="center"/>
    </xf>
    <xf numFmtId="0" fontId="1" fillId="25" borderId="87" xfId="0" applyFont="1" applyFill="1" applyBorder="1" applyAlignment="1">
      <alignment vertical="center"/>
    </xf>
    <xf numFmtId="165" fontId="1" fillId="38" borderId="50" xfId="0" applyNumberFormat="1" applyFont="1" applyFill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3" xfId="0" applyFont="1" applyBorder="1" applyAlignment="1">
      <alignment vertical="center"/>
    </xf>
    <xf numFmtId="165" fontId="1" fillId="0" borderId="39" xfId="0" applyNumberFormat="1" applyFont="1" applyBorder="1" applyAlignment="1">
      <alignment horizontal="center" vertical="center"/>
    </xf>
    <xf numFmtId="0" fontId="1" fillId="8" borderId="73" xfId="0" applyFont="1" applyFill="1" applyBorder="1" applyAlignment="1">
      <alignment vertical="center"/>
    </xf>
    <xf numFmtId="165" fontId="1" fillId="8" borderId="83" xfId="0" applyNumberFormat="1" applyFont="1" applyFill="1" applyBorder="1" applyAlignment="1">
      <alignment horizontal="center" vertical="center"/>
    </xf>
    <xf numFmtId="1" fontId="5" fillId="8" borderId="81" xfId="0" applyNumberFormat="1" applyFont="1" applyFill="1" applyBorder="1" applyAlignment="1">
      <alignment horizontal="center" vertical="center"/>
    </xf>
    <xf numFmtId="0" fontId="1" fillId="8" borderId="111" xfId="0" applyFont="1" applyFill="1" applyBorder="1" applyAlignment="1">
      <alignment horizontal="center" vertical="center"/>
    </xf>
    <xf numFmtId="1" fontId="5" fillId="12" borderId="40" xfId="0" applyNumberFormat="1" applyFont="1" applyFill="1" applyBorder="1" applyAlignment="1">
      <alignment horizontal="center" vertical="center"/>
    </xf>
    <xf numFmtId="165" fontId="1" fillId="12" borderId="41" xfId="0" applyNumberFormat="1" applyFont="1" applyFill="1" applyBorder="1" applyAlignment="1">
      <alignment horizontal="center" vertical="center"/>
    </xf>
    <xf numFmtId="0" fontId="1" fillId="12" borderId="111" xfId="0" applyFont="1" applyFill="1" applyBorder="1" applyAlignment="1">
      <alignment horizontal="center" vertical="center"/>
    </xf>
    <xf numFmtId="0" fontId="1" fillId="12" borderId="118" xfId="0" applyFont="1" applyFill="1" applyBorder="1" applyAlignment="1">
      <alignment vertical="center"/>
    </xf>
    <xf numFmtId="1" fontId="5" fillId="0" borderId="78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8" fontId="5" fillId="0" borderId="44" xfId="0" applyNumberFormat="1" applyFont="1" applyBorder="1" applyAlignment="1">
      <alignment horizontal="center" vertical="center"/>
    </xf>
    <xf numFmtId="0" fontId="1" fillId="0" borderId="180" xfId="0" applyFont="1" applyBorder="1"/>
    <xf numFmtId="0" fontId="1" fillId="0" borderId="197" xfId="0" applyFont="1" applyBorder="1" applyAlignment="1">
      <alignment vertical="center"/>
    </xf>
    <xf numFmtId="0" fontId="1" fillId="8" borderId="51" xfId="0" applyFont="1" applyFill="1" applyBorder="1" applyAlignment="1">
      <alignment horizontal="center" vertical="center"/>
    </xf>
    <xf numFmtId="0" fontId="1" fillId="8" borderId="55" xfId="0" applyFont="1" applyFill="1" applyBorder="1" applyAlignment="1">
      <alignment horizontal="center" vertical="center"/>
    </xf>
    <xf numFmtId="0" fontId="1" fillId="8" borderId="91" xfId="0" applyFont="1" applyFill="1" applyBorder="1" applyAlignment="1">
      <alignment vertical="center"/>
    </xf>
    <xf numFmtId="0" fontId="1" fillId="0" borderId="48" xfId="0" applyFont="1" applyBorder="1" applyAlignment="1">
      <alignment horizontal="center" vertical="center"/>
    </xf>
    <xf numFmtId="1" fontId="5" fillId="8" borderId="186" xfId="0" applyNumberFormat="1" applyFont="1" applyFill="1" applyBorder="1" applyAlignment="1">
      <alignment horizontal="center" vertical="center"/>
    </xf>
    <xf numFmtId="0" fontId="1" fillId="8" borderId="187" xfId="0" applyFont="1" applyFill="1" applyBorder="1" applyAlignment="1">
      <alignment horizontal="center" vertical="center"/>
    </xf>
    <xf numFmtId="165" fontId="1" fillId="8" borderId="188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1" fontId="5" fillId="0" borderId="21" xfId="0" applyNumberFormat="1" applyFont="1" applyBorder="1" applyAlignment="1">
      <alignment vertical="center"/>
    </xf>
    <xf numFmtId="1" fontId="5" fillId="0" borderId="31" xfId="0" applyNumberFormat="1" applyFont="1" applyBorder="1" applyAlignment="1">
      <alignment vertical="center"/>
    </xf>
    <xf numFmtId="0" fontId="5" fillId="0" borderId="8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165" fontId="5" fillId="0" borderId="68" xfId="0" applyNumberFormat="1" applyFont="1" applyBorder="1" applyAlignment="1">
      <alignment horizontal="center" vertical="center"/>
    </xf>
    <xf numFmtId="0" fontId="1" fillId="0" borderId="175" xfId="0" applyFont="1" applyBorder="1" applyAlignment="1">
      <alignment vertical="center"/>
    </xf>
    <xf numFmtId="0" fontId="5" fillId="0" borderId="149" xfId="0" applyFont="1" applyBorder="1"/>
    <xf numFmtId="0" fontId="5" fillId="0" borderId="174" xfId="0" applyFont="1" applyBorder="1"/>
    <xf numFmtId="0" fontId="18" fillId="0" borderId="149" xfId="3" applyBorder="1" applyAlignment="1"/>
    <xf numFmtId="0" fontId="18" fillId="0" borderId="174" xfId="3" applyBorder="1" applyAlignment="1"/>
    <xf numFmtId="0" fontId="1" fillId="18" borderId="91" xfId="0" applyFont="1" applyFill="1" applyBorder="1" applyAlignment="1">
      <alignment vertical="center"/>
    </xf>
    <xf numFmtId="0" fontId="1" fillId="18" borderId="172" xfId="0" applyFont="1" applyFill="1" applyBorder="1" applyAlignment="1">
      <alignment vertical="center"/>
    </xf>
    <xf numFmtId="0" fontId="1" fillId="8" borderId="149" xfId="0" applyFont="1" applyFill="1" applyBorder="1" applyAlignment="1">
      <alignment vertical="center"/>
    </xf>
    <xf numFmtId="0" fontId="1" fillId="0" borderId="150" xfId="0" applyFont="1" applyBorder="1" applyAlignment="1">
      <alignment vertical="center"/>
    </xf>
    <xf numFmtId="0" fontId="1" fillId="0" borderId="125" xfId="0" applyFont="1" applyBorder="1" applyAlignment="1">
      <alignment vertical="center"/>
    </xf>
    <xf numFmtId="0" fontId="1" fillId="7" borderId="199" xfId="0" applyFont="1" applyFill="1" applyBorder="1" applyAlignment="1">
      <alignment vertical="center"/>
    </xf>
    <xf numFmtId="0" fontId="1" fillId="7" borderId="113" xfId="0" applyFont="1" applyFill="1" applyBorder="1" applyAlignment="1">
      <alignment vertical="center"/>
    </xf>
    <xf numFmtId="0" fontId="1" fillId="7" borderId="105" xfId="0" applyFont="1" applyFill="1" applyBorder="1"/>
    <xf numFmtId="0" fontId="1" fillId="7" borderId="103" xfId="0" applyFont="1" applyFill="1" applyBorder="1"/>
    <xf numFmtId="0" fontId="1" fillId="7" borderId="84" xfId="0" applyFont="1" applyFill="1" applyBorder="1" applyAlignment="1">
      <alignment vertical="center"/>
    </xf>
    <xf numFmtId="0" fontId="1" fillId="8" borderId="150" xfId="0" applyFont="1" applyFill="1" applyBorder="1" applyAlignment="1">
      <alignment vertical="center"/>
    </xf>
    <xf numFmtId="0" fontId="1" fillId="5" borderId="32" xfId="0" applyFont="1" applyFill="1" applyBorder="1" applyAlignment="1">
      <alignment horizontal="center" vertical="center"/>
    </xf>
    <xf numFmtId="0" fontId="5" fillId="5" borderId="200" xfId="0" applyFont="1" applyFill="1" applyBorder="1" applyAlignment="1">
      <alignment vertical="center"/>
    </xf>
    <xf numFmtId="0" fontId="1" fillId="0" borderId="107" xfId="0" applyFont="1" applyBorder="1" applyAlignment="1">
      <alignment vertical="center"/>
    </xf>
    <xf numFmtId="0" fontId="5" fillId="5" borderId="123" xfId="0" applyFont="1" applyFill="1" applyBorder="1" applyAlignment="1">
      <alignment vertical="center"/>
    </xf>
    <xf numFmtId="0" fontId="5" fillId="10" borderId="45" xfId="0" applyFont="1" applyFill="1" applyBorder="1" applyAlignment="1">
      <alignment vertical="center"/>
    </xf>
    <xf numFmtId="0" fontId="1" fillId="10" borderId="48" xfId="0" applyFont="1" applyFill="1" applyBorder="1" applyAlignment="1">
      <alignment horizontal="center" vertical="center"/>
    </xf>
    <xf numFmtId="0" fontId="5" fillId="10" borderId="49" xfId="0" applyFont="1" applyFill="1" applyBorder="1" applyAlignment="1">
      <alignment vertical="center"/>
    </xf>
    <xf numFmtId="0" fontId="5" fillId="10" borderId="33" xfId="0" applyFont="1" applyFill="1" applyBorder="1" applyAlignment="1">
      <alignment vertical="center" wrapText="1"/>
    </xf>
    <xf numFmtId="42" fontId="1" fillId="10" borderId="50" xfId="0" applyNumberFormat="1" applyFont="1" applyFill="1" applyBorder="1" applyAlignment="1">
      <alignment horizontal="center" vertical="center"/>
    </xf>
    <xf numFmtId="0" fontId="1" fillId="10" borderId="49" xfId="0" applyFont="1" applyFill="1" applyBorder="1" applyAlignment="1">
      <alignment vertical="center"/>
    </xf>
    <xf numFmtId="0" fontId="1" fillId="10" borderId="33" xfId="0" applyFont="1" applyFill="1" applyBorder="1" applyAlignment="1">
      <alignment vertical="center" wrapText="1"/>
    </xf>
    <xf numFmtId="0" fontId="1" fillId="10" borderId="45" xfId="0" applyFont="1" applyFill="1" applyBorder="1" applyAlignment="1">
      <alignment horizontal="center" vertical="center"/>
    </xf>
    <xf numFmtId="0" fontId="5" fillId="13" borderId="55" xfId="0" applyFont="1" applyFill="1" applyBorder="1" applyAlignment="1">
      <alignment horizontal="center" vertical="center"/>
    </xf>
    <xf numFmtId="0" fontId="1" fillId="0" borderId="77" xfId="0" applyFont="1" applyBorder="1" applyAlignment="1">
      <alignment vertical="center"/>
    </xf>
    <xf numFmtId="0" fontId="0" fillId="0" borderId="77" xfId="0" applyBorder="1"/>
    <xf numFmtId="0" fontId="5" fillId="0" borderId="75" xfId="0" applyFont="1" applyBorder="1" applyAlignment="1">
      <alignment horizontal="center" vertical="center" wrapText="1"/>
    </xf>
    <xf numFmtId="0" fontId="1" fillId="0" borderId="65" xfId="0" applyFont="1" applyBorder="1" applyAlignment="1">
      <alignment vertical="center"/>
    </xf>
    <xf numFmtId="0" fontId="1" fillId="0" borderId="65" xfId="0" applyFont="1" applyBorder="1"/>
    <xf numFmtId="0" fontId="1" fillId="0" borderId="30" xfId="0" applyFont="1" applyBorder="1" applyAlignment="1">
      <alignment horizontal="center" vertical="center"/>
    </xf>
    <xf numFmtId="165" fontId="1" fillId="0" borderId="31" xfId="0" applyNumberFormat="1" applyFont="1" applyBorder="1" applyAlignment="1">
      <alignment vertical="center"/>
    </xf>
    <xf numFmtId="0" fontId="0" fillId="8" borderId="76" xfId="0" applyFill="1" applyBorder="1"/>
    <xf numFmtId="0" fontId="0" fillId="8" borderId="61" xfId="0" applyFill="1" applyBorder="1"/>
    <xf numFmtId="0" fontId="0" fillId="8" borderId="77" xfId="0" applyFill="1" applyBorder="1"/>
    <xf numFmtId="0" fontId="1" fillId="8" borderId="77" xfId="0" applyFont="1" applyFill="1" applyBorder="1" applyAlignment="1">
      <alignment vertical="center"/>
    </xf>
    <xf numFmtId="0" fontId="5" fillId="8" borderId="77" xfId="0" applyFont="1" applyFill="1" applyBorder="1" applyAlignment="1">
      <alignment vertical="center" wrapText="1"/>
    </xf>
    <xf numFmtId="0" fontId="5" fillId="8" borderId="75" xfId="0" applyFont="1" applyFill="1" applyBorder="1" applyAlignment="1">
      <alignment horizontal="center" vertical="center" wrapText="1"/>
    </xf>
    <xf numFmtId="0" fontId="1" fillId="8" borderId="65" xfId="0" applyFont="1" applyFill="1" applyBorder="1" applyAlignment="1">
      <alignment vertical="center" wrapText="1"/>
    </xf>
    <xf numFmtId="0" fontId="1" fillId="8" borderId="75" xfId="0" applyFont="1" applyFill="1" applyBorder="1" applyAlignment="1">
      <alignment horizontal="left" vertical="center" wrapText="1"/>
    </xf>
    <xf numFmtId="0" fontId="1" fillId="8" borderId="65" xfId="0" applyFont="1" applyFill="1" applyBorder="1" applyAlignment="1">
      <alignment vertical="center"/>
    </xf>
    <xf numFmtId="0" fontId="1" fillId="8" borderId="75" xfId="0" applyFont="1" applyFill="1" applyBorder="1" applyAlignment="1">
      <alignment horizontal="left" vertical="center"/>
    </xf>
    <xf numFmtId="0" fontId="1" fillId="8" borderId="61" xfId="0" applyFont="1" applyFill="1" applyBorder="1" applyAlignment="1">
      <alignment vertical="center"/>
    </xf>
    <xf numFmtId="0" fontId="1" fillId="8" borderId="79" xfId="0" applyFont="1" applyFill="1" applyBorder="1" applyAlignment="1">
      <alignment horizontal="left" vertical="center"/>
    </xf>
    <xf numFmtId="0" fontId="5" fillId="8" borderId="96" xfId="0" applyFont="1" applyFill="1" applyBorder="1" applyAlignment="1">
      <alignment vertical="center" wrapText="1"/>
    </xf>
    <xf numFmtId="0" fontId="5" fillId="8" borderId="125" xfId="0" applyFont="1" applyFill="1" applyBorder="1" applyAlignment="1">
      <alignment horizontal="center" vertical="center" wrapText="1"/>
    </xf>
    <xf numFmtId="0" fontId="1" fillId="8" borderId="125" xfId="0" applyFont="1" applyFill="1" applyBorder="1" applyAlignment="1">
      <alignment horizontal="left" vertical="center" wrapText="1"/>
    </xf>
    <xf numFmtId="0" fontId="1" fillId="8" borderId="60" xfId="0" applyFont="1" applyFill="1" applyBorder="1" applyAlignment="1">
      <alignment horizontal="center" vertical="center"/>
    </xf>
    <xf numFmtId="0" fontId="1" fillId="8" borderId="59" xfId="0" applyFont="1" applyFill="1" applyBorder="1" applyAlignment="1">
      <alignment horizontal="center" vertical="center" wrapText="1"/>
    </xf>
    <xf numFmtId="165" fontId="5" fillId="8" borderId="61" xfId="1" applyNumberFormat="1" applyFont="1" applyFill="1" applyBorder="1" applyAlignment="1">
      <alignment horizontal="center" vertical="center"/>
    </xf>
    <xf numFmtId="165" fontId="5" fillId="0" borderId="65" xfId="1" applyNumberFormat="1" applyFont="1" applyBorder="1" applyAlignment="1">
      <alignment horizontal="center" vertical="center"/>
    </xf>
    <xf numFmtId="165" fontId="5" fillId="8" borderId="65" xfId="1" applyNumberFormat="1" applyFont="1" applyFill="1" applyBorder="1" applyAlignment="1">
      <alignment horizontal="center" vertical="center"/>
    </xf>
    <xf numFmtId="165" fontId="5" fillId="8" borderId="65" xfId="0" applyNumberFormat="1" applyFont="1" applyFill="1" applyBorder="1" applyAlignment="1">
      <alignment horizontal="center"/>
    </xf>
    <xf numFmtId="165" fontId="5" fillId="0" borderId="65" xfId="0" applyNumberFormat="1" applyFont="1" applyBorder="1" applyAlignment="1">
      <alignment horizontal="center"/>
    </xf>
    <xf numFmtId="165" fontId="5" fillId="8" borderId="62" xfId="0" applyNumberFormat="1" applyFont="1" applyFill="1" applyBorder="1" applyAlignment="1">
      <alignment horizontal="center"/>
    </xf>
    <xf numFmtId="0" fontId="38" fillId="10" borderId="7" xfId="0" applyFont="1" applyFill="1" applyBorder="1" applyAlignment="1">
      <alignment horizontal="left" vertical="center"/>
    </xf>
    <xf numFmtId="0" fontId="38" fillId="10" borderId="6" xfId="0" applyFont="1" applyFill="1" applyBorder="1" applyAlignment="1">
      <alignment horizontal="center" vertical="center"/>
    </xf>
    <xf numFmtId="1" fontId="38" fillId="10" borderId="6" xfId="0" applyNumberFormat="1" applyFont="1" applyFill="1" applyBorder="1" applyAlignment="1">
      <alignment horizontal="center" vertical="center"/>
    </xf>
    <xf numFmtId="0" fontId="22" fillId="39" borderId="9" xfId="0" applyFont="1" applyFill="1" applyBorder="1" applyAlignment="1">
      <alignment vertical="center"/>
    </xf>
    <xf numFmtId="0" fontId="44" fillId="10" borderId="162" xfId="0" applyFont="1" applyFill="1" applyBorder="1" applyAlignment="1">
      <alignment horizontal="center" vertical="center"/>
    </xf>
    <xf numFmtId="0" fontId="44" fillId="10" borderId="10" xfId="0" applyFont="1" applyFill="1" applyBorder="1" applyAlignment="1">
      <alignment horizontal="center" vertical="center"/>
    </xf>
    <xf numFmtId="0" fontId="44" fillId="10" borderId="21" xfId="0" applyFont="1" applyFill="1" applyBorder="1" applyAlignment="1">
      <alignment horizontal="center" vertical="center"/>
    </xf>
    <xf numFmtId="0" fontId="36" fillId="10" borderId="10" xfId="0" applyFont="1" applyFill="1" applyBorder="1" applyAlignment="1">
      <alignment horizontal="center" vertical="center"/>
    </xf>
    <xf numFmtId="0" fontId="38" fillId="10" borderId="6" xfId="0" applyFont="1" applyFill="1" applyBorder="1" applyAlignment="1">
      <alignment horizontal="left" vertical="center"/>
    </xf>
    <xf numFmtId="0" fontId="38" fillId="40" borderId="6" xfId="0" applyFont="1" applyFill="1" applyBorder="1" applyAlignment="1">
      <alignment horizontal="left" vertical="center"/>
    </xf>
    <xf numFmtId="0" fontId="38" fillId="10" borderId="8" xfId="0" applyFont="1" applyFill="1" applyBorder="1" applyAlignment="1">
      <alignment horizontal="center" vertical="center"/>
    </xf>
    <xf numFmtId="0" fontId="38" fillId="10" borderId="11" xfId="0" applyFont="1" applyFill="1" applyBorder="1" applyAlignment="1">
      <alignment horizontal="left" vertical="center"/>
    </xf>
    <xf numFmtId="0" fontId="22" fillId="10" borderId="9" xfId="0" applyFont="1" applyFill="1" applyBorder="1" applyAlignment="1">
      <alignment vertical="center"/>
    </xf>
    <xf numFmtId="0" fontId="35" fillId="10" borderId="11" xfId="0" applyFont="1" applyFill="1" applyBorder="1" applyAlignment="1">
      <alignment horizontal="left" vertical="center"/>
    </xf>
    <xf numFmtId="0" fontId="35" fillId="10" borderId="8" xfId="0" applyFont="1" applyFill="1" applyBorder="1" applyAlignment="1">
      <alignment horizontal="center" vertical="center"/>
    </xf>
    <xf numFmtId="1" fontId="35" fillId="10" borderId="6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vertical="center"/>
    </xf>
    <xf numFmtId="1" fontId="8" fillId="10" borderId="6" xfId="0" applyNumberFormat="1" applyFont="1" applyFill="1" applyBorder="1" applyAlignment="1">
      <alignment horizontal="center" vertical="center"/>
    </xf>
    <xf numFmtId="1" fontId="31" fillId="10" borderId="6" xfId="0" applyNumberFormat="1" applyFont="1" applyFill="1" applyBorder="1" applyAlignment="1">
      <alignment horizontal="center" vertical="center"/>
    </xf>
    <xf numFmtId="1" fontId="31" fillId="41" borderId="6" xfId="0" applyNumberFormat="1" applyFont="1" applyFill="1" applyBorder="1" applyAlignment="1">
      <alignment horizontal="center" vertical="center"/>
    </xf>
    <xf numFmtId="0" fontId="38" fillId="41" borderId="6" xfId="0" applyFont="1" applyFill="1" applyBorder="1" applyAlignment="1">
      <alignment horizontal="left" vertical="center"/>
    </xf>
    <xf numFmtId="0" fontId="38" fillId="41" borderId="8" xfId="0" applyFont="1" applyFill="1" applyBorder="1" applyAlignment="1">
      <alignment horizontal="center" vertical="center"/>
    </xf>
    <xf numFmtId="1" fontId="38" fillId="41" borderId="6" xfId="0" applyNumberFormat="1" applyFont="1" applyFill="1" applyBorder="1" applyAlignment="1">
      <alignment horizontal="center" vertical="center"/>
    </xf>
    <xf numFmtId="0" fontId="22" fillId="42" borderId="9" xfId="0" applyFont="1" applyFill="1" applyBorder="1" applyAlignment="1">
      <alignment vertical="center"/>
    </xf>
    <xf numFmtId="0" fontId="44" fillId="43" borderId="162" xfId="0" applyFont="1" applyFill="1" applyBorder="1" applyAlignment="1">
      <alignment horizontal="center" vertical="center"/>
    </xf>
    <xf numFmtId="0" fontId="44" fillId="43" borderId="10" xfId="0" applyFont="1" applyFill="1" applyBorder="1" applyAlignment="1">
      <alignment horizontal="center" vertical="center"/>
    </xf>
    <xf numFmtId="0" fontId="44" fillId="44" borderId="10" xfId="0" applyFont="1" applyFill="1" applyBorder="1" applyAlignment="1">
      <alignment horizontal="center" vertical="center"/>
    </xf>
    <xf numFmtId="0" fontId="44" fillId="41" borderId="21" xfId="0" applyFont="1" applyFill="1" applyBorder="1" applyAlignment="1">
      <alignment horizontal="center" vertical="center"/>
    </xf>
    <xf numFmtId="0" fontId="36" fillId="43" borderId="10" xfId="0" applyFont="1" applyFill="1" applyBorder="1" applyAlignment="1">
      <alignment horizontal="center" vertical="center"/>
    </xf>
    <xf numFmtId="0" fontId="36" fillId="44" borderId="10" xfId="0" applyFont="1" applyFill="1" applyBorder="1" applyAlignment="1">
      <alignment horizontal="center" vertical="center"/>
    </xf>
    <xf numFmtId="0" fontId="38" fillId="41" borderId="6" xfId="0" applyFont="1" applyFill="1" applyBorder="1" applyAlignment="1">
      <alignment horizontal="center" vertical="center"/>
    </xf>
    <xf numFmtId="0" fontId="38" fillId="41" borderId="7" xfId="0" applyFont="1" applyFill="1" applyBorder="1" applyAlignment="1">
      <alignment horizontal="left" vertical="center"/>
    </xf>
    <xf numFmtId="0" fontId="38" fillId="45" borderId="11" xfId="0" applyFont="1" applyFill="1" applyBorder="1" applyAlignment="1">
      <alignment horizontal="left" vertical="center"/>
    </xf>
    <xf numFmtId="0" fontId="38" fillId="41" borderId="11" xfId="0" applyFont="1" applyFill="1" applyBorder="1" applyAlignment="1">
      <alignment horizontal="left" vertical="center"/>
    </xf>
    <xf numFmtId="0" fontId="35" fillId="41" borderId="6" xfId="0" applyFont="1" applyFill="1" applyBorder="1" applyAlignment="1">
      <alignment horizontal="center" vertical="center"/>
    </xf>
    <xf numFmtId="1" fontId="35" fillId="41" borderId="6" xfId="0" applyNumberFormat="1" applyFont="1" applyFill="1" applyBorder="1" applyAlignment="1">
      <alignment horizontal="center" vertical="center"/>
    </xf>
    <xf numFmtId="0" fontId="1" fillId="42" borderId="9" xfId="0" applyFont="1" applyFill="1" applyBorder="1" applyAlignment="1">
      <alignment vertical="center"/>
    </xf>
    <xf numFmtId="0" fontId="35" fillId="41" borderId="11" xfId="0" applyFont="1" applyFill="1" applyBorder="1" applyAlignment="1">
      <alignment horizontal="left" vertical="center"/>
    </xf>
    <xf numFmtId="1" fontId="8" fillId="41" borderId="6" xfId="0" applyNumberFormat="1" applyFont="1" applyFill="1" applyBorder="1" applyAlignment="1">
      <alignment horizontal="center" vertical="center"/>
    </xf>
    <xf numFmtId="42" fontId="1" fillId="8" borderId="39" xfId="0" applyNumberFormat="1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1" fillId="0" borderId="91" xfId="0" applyFont="1" applyBorder="1" applyAlignment="1">
      <alignment horizontal="left" vertical="center"/>
    </xf>
    <xf numFmtId="0" fontId="1" fillId="7" borderId="150" xfId="0" applyFont="1" applyFill="1" applyBorder="1" applyAlignment="1">
      <alignment horizontal="left" vertical="center"/>
    </xf>
    <xf numFmtId="0" fontId="1" fillId="7" borderId="125" xfId="0" applyFont="1" applyFill="1" applyBorder="1" applyAlignment="1">
      <alignment vertical="center"/>
    </xf>
    <xf numFmtId="0" fontId="5" fillId="7" borderId="118" xfId="0" applyFont="1" applyFill="1" applyBorder="1" applyAlignment="1">
      <alignment vertical="center"/>
    </xf>
    <xf numFmtId="0" fontId="5" fillId="7" borderId="75" xfId="0" applyFont="1" applyFill="1" applyBorder="1" applyAlignment="1">
      <alignment vertical="center"/>
    </xf>
    <xf numFmtId="0" fontId="1" fillId="8" borderId="24" xfId="0" applyFont="1" applyFill="1" applyBorder="1" applyAlignment="1">
      <alignment horizontal="left" vertical="center"/>
    </xf>
    <xf numFmtId="0" fontId="5" fillId="8" borderId="80" xfId="0" applyFont="1" applyFill="1" applyBorder="1" applyAlignment="1">
      <alignment horizontal="left" vertical="center"/>
    </xf>
    <xf numFmtId="1" fontId="5" fillId="8" borderId="140" xfId="0" applyNumberFormat="1" applyFont="1" applyFill="1" applyBorder="1" applyAlignment="1">
      <alignment horizontal="center" vertical="center"/>
    </xf>
    <xf numFmtId="0" fontId="1" fillId="8" borderId="82" xfId="0" applyFont="1" applyFill="1" applyBorder="1" applyAlignment="1">
      <alignment horizontal="center" vertical="center"/>
    </xf>
    <xf numFmtId="165" fontId="1" fillId="8" borderId="109" xfId="0" applyNumberFormat="1" applyFont="1" applyFill="1" applyBorder="1" applyAlignment="1">
      <alignment horizontal="center" vertical="center"/>
    </xf>
    <xf numFmtId="0" fontId="1" fillId="8" borderId="130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165" fontId="1" fillId="7" borderId="41" xfId="0" applyNumberFormat="1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/>
    </xf>
    <xf numFmtId="1" fontId="5" fillId="9" borderId="40" xfId="0" applyNumberFormat="1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27" borderId="73" xfId="0" applyFont="1" applyFill="1" applyBorder="1" applyAlignment="1">
      <alignment vertical="center"/>
    </xf>
    <xf numFmtId="0" fontId="1" fillId="27" borderId="6" xfId="0" applyFont="1" applyFill="1" applyBorder="1" applyAlignment="1">
      <alignment horizontal="center" vertical="center"/>
    </xf>
    <xf numFmtId="0" fontId="5" fillId="11" borderId="40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5" fillId="11" borderId="73" xfId="0" applyFont="1" applyFill="1" applyBorder="1" applyAlignment="1">
      <alignment vertical="center"/>
    </xf>
    <xf numFmtId="165" fontId="1" fillId="11" borderId="41" xfId="0" applyNumberFormat="1" applyFont="1" applyFill="1" applyBorder="1" applyAlignment="1">
      <alignment horizontal="center" vertical="center"/>
    </xf>
    <xf numFmtId="0" fontId="1" fillId="9" borderId="73" xfId="0" applyFont="1" applyFill="1" applyBorder="1" applyAlignment="1">
      <alignment horizontal="left" vertical="center"/>
    </xf>
    <xf numFmtId="1" fontId="5" fillId="12" borderId="70" xfId="0" applyNumberFormat="1" applyFont="1" applyFill="1" applyBorder="1" applyAlignment="1">
      <alignment horizontal="center" vertical="center"/>
    </xf>
    <xf numFmtId="0" fontId="1" fillId="12" borderId="72" xfId="0" applyFont="1" applyFill="1" applyBorder="1" applyAlignment="1">
      <alignment horizontal="center" vertical="center"/>
    </xf>
    <xf numFmtId="0" fontId="1" fillId="12" borderId="87" xfId="0" applyFont="1" applyFill="1" applyBorder="1" applyAlignment="1">
      <alignment vertical="center"/>
    </xf>
    <xf numFmtId="165" fontId="1" fillId="12" borderId="55" xfId="0" applyNumberFormat="1" applyFont="1" applyFill="1" applyBorder="1" applyAlignment="1">
      <alignment horizontal="center" vertical="center"/>
    </xf>
    <xf numFmtId="0" fontId="5" fillId="10" borderId="99" xfId="0" applyFont="1" applyFill="1" applyBorder="1" applyAlignment="1">
      <alignment horizontal="left" vertical="center"/>
    </xf>
    <xf numFmtId="0" fontId="5" fillId="10" borderId="99" xfId="0" applyFont="1" applyFill="1" applyBorder="1" applyAlignment="1">
      <alignment vertical="center"/>
    </xf>
    <xf numFmtId="0" fontId="1" fillId="18" borderId="73" xfId="0" applyFont="1" applyFill="1" applyBorder="1" applyAlignment="1">
      <alignment vertical="center"/>
    </xf>
    <xf numFmtId="165" fontId="1" fillId="18" borderId="41" xfId="0" applyNumberFormat="1" applyFont="1" applyFill="1" applyBorder="1" applyAlignment="1">
      <alignment horizontal="center" vertical="center"/>
    </xf>
    <xf numFmtId="165" fontId="1" fillId="0" borderId="50" xfId="0" applyNumberFormat="1" applyFont="1" applyBorder="1" applyAlignment="1">
      <alignment horizontal="center" vertical="center"/>
    </xf>
    <xf numFmtId="165" fontId="1" fillId="5" borderId="39" xfId="0" applyNumberFormat="1" applyFont="1" applyFill="1" applyBorder="1" applyAlignment="1">
      <alignment horizontal="center" vertical="center"/>
    </xf>
    <xf numFmtId="165" fontId="1" fillId="0" borderId="92" xfId="0" applyNumberFormat="1" applyFont="1" applyBorder="1" applyAlignment="1">
      <alignment horizontal="center" vertical="center"/>
    </xf>
    <xf numFmtId="165" fontId="1" fillId="5" borderId="50" xfId="0" applyNumberFormat="1" applyFont="1" applyFill="1" applyBorder="1" applyAlignment="1">
      <alignment horizontal="center" vertical="center"/>
    </xf>
    <xf numFmtId="165" fontId="5" fillId="20" borderId="41" xfId="0" applyNumberFormat="1" applyFont="1" applyFill="1" applyBorder="1" applyAlignment="1">
      <alignment horizontal="center" vertical="center"/>
    </xf>
    <xf numFmtId="165" fontId="5" fillId="19" borderId="41" xfId="0" applyNumberFormat="1" applyFont="1" applyFill="1" applyBorder="1" applyAlignment="1">
      <alignment horizontal="center" vertical="center"/>
    </xf>
    <xf numFmtId="165" fontId="5" fillId="26" borderId="68" xfId="0" applyNumberFormat="1" applyFont="1" applyFill="1" applyBorder="1" applyAlignment="1">
      <alignment horizontal="center" vertical="center"/>
    </xf>
    <xf numFmtId="165" fontId="1" fillId="0" borderId="68" xfId="0" applyNumberFormat="1" applyFont="1" applyBorder="1" applyAlignment="1">
      <alignment horizontal="center" vertical="center"/>
    </xf>
    <xf numFmtId="165" fontId="1" fillId="20" borderId="131" xfId="0" applyNumberFormat="1" applyFont="1" applyFill="1" applyBorder="1" applyAlignment="1">
      <alignment horizontal="center" vertical="center"/>
    </xf>
    <xf numFmtId="165" fontId="5" fillId="35" borderId="55" xfId="0" applyNumberFormat="1" applyFont="1" applyFill="1" applyBorder="1" applyAlignment="1">
      <alignment horizontal="center" vertical="center"/>
    </xf>
    <xf numFmtId="165" fontId="1" fillId="0" borderId="41" xfId="1" applyNumberFormat="1" applyFont="1" applyBorder="1" applyAlignment="1">
      <alignment horizontal="center" vertical="center"/>
    </xf>
    <xf numFmtId="165" fontId="1" fillId="0" borderId="39" xfId="1" applyNumberFormat="1" applyFont="1" applyBorder="1" applyAlignment="1">
      <alignment horizontal="center" vertical="center"/>
    </xf>
    <xf numFmtId="165" fontId="1" fillId="8" borderId="41" xfId="1" applyNumberFormat="1" applyFont="1" applyFill="1" applyBorder="1" applyAlignment="1">
      <alignment horizontal="center" vertical="center"/>
    </xf>
    <xf numFmtId="165" fontId="1" fillId="0" borderId="50" xfId="1" applyNumberFormat="1" applyFont="1" applyBorder="1" applyAlignment="1">
      <alignment horizontal="center" vertical="center"/>
    </xf>
    <xf numFmtId="165" fontId="1" fillId="8" borderId="92" xfId="1" applyNumberFormat="1" applyFont="1" applyFill="1" applyBorder="1" applyAlignment="1">
      <alignment horizontal="center" vertical="center"/>
    </xf>
    <xf numFmtId="165" fontId="1" fillId="8" borderId="39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1" fillId="5" borderId="68" xfId="0" applyNumberFormat="1" applyFont="1" applyFill="1" applyBorder="1" applyAlignment="1">
      <alignment horizontal="center" vertical="center"/>
    </xf>
    <xf numFmtId="165" fontId="1" fillId="0" borderId="62" xfId="0" applyNumberFormat="1" applyFont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 wrapText="1"/>
    </xf>
    <xf numFmtId="0" fontId="1" fillId="22" borderId="6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left" vertical="center"/>
    </xf>
    <xf numFmtId="42" fontId="5" fillId="18" borderId="41" xfId="0" applyNumberFormat="1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165" fontId="1" fillId="20" borderId="83" xfId="0" applyNumberFormat="1" applyFont="1" applyFill="1" applyBorder="1" applyAlignment="1">
      <alignment horizontal="center" vertical="center"/>
    </xf>
    <xf numFmtId="42" fontId="1" fillId="7" borderId="155" xfId="0" applyNumberFormat="1" applyFont="1" applyFill="1" applyBorder="1" applyAlignment="1">
      <alignment horizontal="center" vertical="center"/>
    </xf>
    <xf numFmtId="42" fontId="1" fillId="8" borderId="154" xfId="0" applyNumberFormat="1" applyFont="1" applyFill="1" applyBorder="1" applyAlignment="1">
      <alignment horizontal="center" vertical="center"/>
    </xf>
    <xf numFmtId="0" fontId="5" fillId="20" borderId="105" xfId="0" applyFont="1" applyFill="1" applyBorder="1" applyAlignment="1">
      <alignment vertical="center"/>
    </xf>
    <xf numFmtId="167" fontId="5" fillId="20" borderId="64" xfId="4" applyNumberFormat="1" applyFont="1" applyFill="1" applyBorder="1" applyAlignment="1">
      <alignment horizontal="center" vertical="center"/>
    </xf>
    <xf numFmtId="165" fontId="1" fillId="8" borderId="50" xfId="1" applyNumberFormat="1" applyFont="1" applyFill="1" applyBorder="1" applyAlignment="1">
      <alignment horizontal="center" vertical="center"/>
    </xf>
    <xf numFmtId="0" fontId="1" fillId="8" borderId="82" xfId="0" applyFont="1" applyFill="1" applyBorder="1" applyAlignment="1">
      <alignment vertical="center"/>
    </xf>
    <xf numFmtId="165" fontId="1" fillId="8" borderId="109" xfId="1" applyNumberFormat="1" applyFont="1" applyFill="1" applyBorder="1" applyAlignment="1">
      <alignment horizontal="center" vertical="center"/>
    </xf>
    <xf numFmtId="165" fontId="1" fillId="0" borderId="83" xfId="1" applyNumberFormat="1" applyFont="1" applyFill="1" applyBorder="1" applyAlignment="1">
      <alignment horizontal="center" vertical="center"/>
    </xf>
    <xf numFmtId="165" fontId="1" fillId="0" borderId="39" xfId="1" applyNumberFormat="1" applyFont="1" applyFill="1" applyBorder="1" applyAlignment="1">
      <alignment horizontal="center" vertical="center"/>
    </xf>
    <xf numFmtId="0" fontId="1" fillId="0" borderId="80" xfId="0" applyFont="1" applyBorder="1" applyAlignment="1">
      <alignment vertical="center"/>
    </xf>
    <xf numFmtId="165" fontId="1" fillId="0" borderId="92" xfId="1" applyNumberFormat="1" applyFont="1" applyFill="1" applyBorder="1" applyAlignment="1">
      <alignment horizontal="center" vertical="center"/>
    </xf>
    <xf numFmtId="1" fontId="31" fillId="10" borderId="143" xfId="0" applyNumberFormat="1" applyFont="1" applyFill="1" applyBorder="1" applyAlignment="1">
      <alignment vertical="center"/>
    </xf>
    <xf numFmtId="1" fontId="5" fillId="0" borderId="0" xfId="0" applyNumberFormat="1" applyFont="1" applyAlignment="1">
      <alignment horizontal="center" vertical="center"/>
    </xf>
    <xf numFmtId="0" fontId="26" fillId="20" borderId="84" xfId="0" applyFont="1" applyFill="1" applyBorder="1" applyAlignment="1">
      <alignment horizontal="center" vertical="center"/>
    </xf>
    <xf numFmtId="0" fontId="26" fillId="10" borderId="84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7" fillId="31" borderId="107" xfId="0" applyFont="1" applyFill="1" applyBorder="1" applyAlignment="1">
      <alignment vertical="center"/>
    </xf>
    <xf numFmtId="0" fontId="26" fillId="31" borderId="84" xfId="0" applyFont="1" applyFill="1" applyBorder="1" applyAlignment="1">
      <alignment horizontal="center" vertical="center"/>
    </xf>
    <xf numFmtId="42" fontId="1" fillId="26" borderId="77" xfId="0" applyNumberFormat="1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vertical="center"/>
    </xf>
    <xf numFmtId="42" fontId="1" fillId="26" borderId="96" xfId="0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vertical="center"/>
    </xf>
    <xf numFmtId="42" fontId="1" fillId="0" borderId="36" xfId="0" applyNumberFormat="1" applyFont="1" applyBorder="1" applyAlignment="1">
      <alignment vertical="center"/>
    </xf>
    <xf numFmtId="42" fontId="1" fillId="7" borderId="36" xfId="0" applyNumberFormat="1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8" borderId="91" xfId="0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5" borderId="64" xfId="0" applyFont="1" applyFill="1" applyBorder="1" applyAlignment="1">
      <alignment horizontal="center" vertical="center"/>
    </xf>
    <xf numFmtId="0" fontId="1" fillId="8" borderId="64" xfId="0" applyFont="1" applyFill="1" applyBorder="1" applyAlignment="1">
      <alignment horizontal="center" vertical="center"/>
    </xf>
    <xf numFmtId="0" fontId="1" fillId="8" borderId="209" xfId="0" applyFont="1" applyFill="1" applyBorder="1" applyAlignment="1">
      <alignment horizontal="center" vertical="center"/>
    </xf>
    <xf numFmtId="0" fontId="1" fillId="19" borderId="50" xfId="0" applyFont="1" applyFill="1" applyBorder="1" applyAlignment="1">
      <alignment horizontal="center" vertical="center"/>
    </xf>
    <xf numFmtId="0" fontId="5" fillId="8" borderId="101" xfId="0" applyFont="1" applyFill="1" applyBorder="1" applyAlignment="1">
      <alignment horizontal="center" vertical="center"/>
    </xf>
    <xf numFmtId="0" fontId="1" fillId="9" borderId="69" xfId="0" applyFont="1" applyFill="1" applyBorder="1" applyAlignment="1">
      <alignment horizontal="left" vertical="center"/>
    </xf>
    <xf numFmtId="42" fontId="1" fillId="0" borderId="90" xfId="0" applyNumberFormat="1" applyFont="1" applyBorder="1" applyAlignment="1">
      <alignment horizontal="center" vertical="center"/>
    </xf>
    <xf numFmtId="0" fontId="5" fillId="8" borderId="183" xfId="0" applyFont="1" applyFill="1" applyBorder="1" applyAlignment="1">
      <alignment horizontal="center" vertical="center"/>
    </xf>
    <xf numFmtId="0" fontId="1" fillId="8" borderId="72" xfId="0" applyFont="1" applyFill="1" applyBorder="1" applyAlignment="1">
      <alignment horizontal="left" vertical="center"/>
    </xf>
    <xf numFmtId="42" fontId="1" fillId="8" borderId="55" xfId="0" applyNumberFormat="1" applyFont="1" applyFill="1" applyBorder="1" applyAlignment="1">
      <alignment horizontal="center" vertical="center"/>
    </xf>
    <xf numFmtId="42" fontId="5" fillId="49" borderId="65" xfId="1" applyFont="1" applyFill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5" borderId="118" xfId="0" applyFont="1" applyFill="1" applyBorder="1" applyAlignment="1">
      <alignment vertical="center"/>
    </xf>
    <xf numFmtId="0" fontId="1" fillId="8" borderId="127" xfId="0" applyFont="1" applyFill="1" applyBorder="1" applyAlignment="1">
      <alignment horizontal="left" vertical="center"/>
    </xf>
    <xf numFmtId="0" fontId="1" fillId="7" borderId="127" xfId="0" applyFont="1" applyFill="1" applyBorder="1" applyAlignment="1">
      <alignment horizontal="left" vertical="center"/>
    </xf>
    <xf numFmtId="0" fontId="5" fillId="8" borderId="118" xfId="0" applyFont="1" applyFill="1" applyBorder="1" applyAlignment="1">
      <alignment horizontal="left" vertical="center"/>
    </xf>
    <xf numFmtId="0" fontId="5" fillId="8" borderId="75" xfId="0" applyFont="1" applyFill="1" applyBorder="1" applyAlignment="1">
      <alignment horizontal="left" vertical="center"/>
    </xf>
    <xf numFmtId="42" fontId="5" fillId="17" borderId="65" xfId="1" applyFont="1" applyFill="1" applyBorder="1" applyAlignment="1">
      <alignment horizontal="center" vertical="center"/>
    </xf>
    <xf numFmtId="42" fontId="5" fillId="11" borderId="65" xfId="1" applyFont="1" applyFill="1" applyBorder="1" applyAlignment="1">
      <alignment horizontal="center" vertical="center"/>
    </xf>
    <xf numFmtId="42" fontId="1" fillId="0" borderId="0" xfId="1" applyFont="1" applyAlignment="1">
      <alignment vertical="center" wrapText="1"/>
    </xf>
    <xf numFmtId="0" fontId="5" fillId="0" borderId="75" xfId="1" applyNumberFormat="1" applyFont="1" applyBorder="1" applyAlignment="1">
      <alignment horizontal="center" vertical="center"/>
    </xf>
    <xf numFmtId="0" fontId="5" fillId="8" borderId="79" xfId="0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5" fillId="8" borderId="75" xfId="0" applyFont="1" applyFill="1" applyBorder="1" applyAlignment="1">
      <alignment horizontal="center"/>
    </xf>
    <xf numFmtId="42" fontId="23" fillId="0" borderId="0" xfId="1" applyFont="1"/>
    <xf numFmtId="42" fontId="1" fillId="0" borderId="21" xfId="1" applyFont="1" applyBorder="1" applyAlignment="1">
      <alignment vertical="center" wrapText="1"/>
    </xf>
    <xf numFmtId="0" fontId="1" fillId="8" borderId="97" xfId="0" applyFont="1" applyFill="1" applyBorder="1" applyAlignment="1">
      <alignment horizontal="center" vertical="center" wrapText="1"/>
    </xf>
    <xf numFmtId="0" fontId="1" fillId="8" borderId="84" xfId="0" applyFont="1" applyFill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0" fontId="1" fillId="8" borderId="62" xfId="0" applyFont="1" applyFill="1" applyBorder="1" applyAlignment="1">
      <alignment vertical="center"/>
    </xf>
    <xf numFmtId="0" fontId="1" fillId="0" borderId="95" xfId="0" applyFont="1" applyBorder="1" applyAlignment="1">
      <alignment horizontal="center" vertical="center"/>
    </xf>
    <xf numFmtId="0" fontId="5" fillId="10" borderId="60" xfId="0" applyFont="1" applyFill="1" applyBorder="1" applyAlignment="1">
      <alignment horizontal="left" vertical="center"/>
    </xf>
    <xf numFmtId="0" fontId="5" fillId="10" borderId="60" xfId="0" applyFont="1" applyFill="1" applyBorder="1" applyAlignment="1">
      <alignment vertical="center"/>
    </xf>
    <xf numFmtId="167" fontId="1" fillId="0" borderId="61" xfId="4" applyNumberFormat="1" applyFont="1" applyFill="1" applyBorder="1" applyAlignment="1">
      <alignment horizontal="center" vertical="center"/>
    </xf>
    <xf numFmtId="0" fontId="5" fillId="10" borderId="59" xfId="0" applyFont="1" applyFill="1" applyBorder="1" applyAlignment="1">
      <alignment horizontal="left" vertical="center"/>
    </xf>
    <xf numFmtId="0" fontId="5" fillId="20" borderId="59" xfId="0" applyFont="1" applyFill="1" applyBorder="1" applyAlignment="1">
      <alignment horizontal="left" vertical="center"/>
    </xf>
    <xf numFmtId="42" fontId="5" fillId="8" borderId="50" xfId="0" applyNumberFormat="1" applyFont="1" applyFill="1" applyBorder="1" applyAlignment="1">
      <alignment horizontal="center" vertical="center"/>
    </xf>
    <xf numFmtId="0" fontId="5" fillId="25" borderId="12" xfId="0" applyFont="1" applyFill="1" applyBorder="1" applyAlignment="1">
      <alignment horizontal="left" vertical="center"/>
    </xf>
    <xf numFmtId="0" fontId="5" fillId="25" borderId="6" xfId="0" applyFont="1" applyFill="1" applyBorder="1" applyAlignment="1">
      <alignment horizontal="left" vertical="center"/>
    </xf>
    <xf numFmtId="0" fontId="1" fillId="0" borderId="149" xfId="0" applyFont="1" applyBorder="1"/>
    <xf numFmtId="0" fontId="1" fillId="0" borderId="174" xfId="0" applyFont="1" applyBorder="1"/>
    <xf numFmtId="0" fontId="5" fillId="50" borderId="16" xfId="0" applyFont="1" applyFill="1" applyBorder="1" applyAlignment="1">
      <alignment horizontal="center" vertical="center"/>
    </xf>
    <xf numFmtId="0" fontId="1" fillId="50" borderId="8" xfId="0" applyFont="1" applyFill="1" applyBorder="1" applyAlignment="1">
      <alignment horizontal="left" vertical="center"/>
    </xf>
    <xf numFmtId="42" fontId="1" fillId="50" borderId="39" xfId="0" applyNumberFormat="1" applyFont="1" applyFill="1" applyBorder="1" applyAlignment="1">
      <alignment horizontal="center" vertical="center"/>
    </xf>
    <xf numFmtId="0" fontId="1" fillId="50" borderId="13" xfId="0" applyFont="1" applyFill="1" applyBorder="1" applyAlignment="1">
      <alignment horizontal="center" vertical="center"/>
    </xf>
    <xf numFmtId="0" fontId="1" fillId="50" borderId="38" xfId="0" applyFont="1" applyFill="1" applyBorder="1" applyAlignment="1">
      <alignment horizontal="center" vertical="center"/>
    </xf>
    <xf numFmtId="0" fontId="1" fillId="51" borderId="13" xfId="0" applyFont="1" applyFill="1" applyBorder="1" applyAlignment="1">
      <alignment horizontal="center" vertical="center"/>
    </xf>
    <xf numFmtId="0" fontId="1" fillId="51" borderId="38" xfId="0" applyFont="1" applyFill="1" applyBorder="1" applyAlignment="1">
      <alignment horizontal="center" vertical="center"/>
    </xf>
    <xf numFmtId="1" fontId="8" fillId="10" borderId="11" xfId="0" applyNumberFormat="1" applyFont="1" applyFill="1" applyBorder="1" applyAlignment="1">
      <alignment horizontal="center" vertical="center"/>
    </xf>
    <xf numFmtId="1" fontId="8" fillId="41" borderId="59" xfId="0" applyNumberFormat="1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0" fontId="53" fillId="0" borderId="0" xfId="0" applyFont="1" applyAlignment="1">
      <alignment horizontal="left" vertical="top"/>
    </xf>
    <xf numFmtId="0" fontId="10" fillId="0" borderId="0" xfId="0" applyFont="1" applyAlignment="1">
      <alignment vertical="center"/>
    </xf>
    <xf numFmtId="0" fontId="0" fillId="59" borderId="0" xfId="0" applyFill="1" applyAlignment="1">
      <alignment vertical="center"/>
    </xf>
    <xf numFmtId="0" fontId="0" fillId="55" borderId="0" xfId="0" applyFill="1" applyAlignment="1">
      <alignment vertical="center"/>
    </xf>
    <xf numFmtId="0" fontId="0" fillId="54" borderId="0" xfId="0" applyFill="1" applyAlignment="1">
      <alignment vertical="center"/>
    </xf>
    <xf numFmtId="0" fontId="0" fillId="56" borderId="0" xfId="0" applyFill="1" applyAlignment="1">
      <alignment vertical="center"/>
    </xf>
    <xf numFmtId="0" fontId="0" fillId="58" borderId="0" xfId="0" applyFill="1" applyAlignment="1">
      <alignment vertical="center"/>
    </xf>
    <xf numFmtId="0" fontId="0" fillId="57" borderId="0" xfId="0" applyFill="1" applyAlignment="1">
      <alignment vertic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right" vertical="center"/>
    </xf>
    <xf numFmtId="0" fontId="26" fillId="0" borderId="28" xfId="0" applyFont="1" applyBorder="1"/>
    <xf numFmtId="0" fontId="0" fillId="0" borderId="30" xfId="0" applyBorder="1" applyAlignment="1">
      <alignment vertical="top"/>
    </xf>
    <xf numFmtId="0" fontId="0" fillId="0" borderId="21" xfId="0" applyBorder="1" applyAlignment="1">
      <alignment vertical="top"/>
    </xf>
    <xf numFmtId="0" fontId="26" fillId="0" borderId="21" xfId="0" applyFont="1" applyBorder="1" applyAlignment="1">
      <alignment vertical="top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26" fillId="0" borderId="33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5" fillId="0" borderId="0" xfId="0" applyFont="1" applyAlignment="1">
      <alignment horizontal="right" vertical="center"/>
    </xf>
    <xf numFmtId="0" fontId="10" fillId="0" borderId="28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56" fillId="48" borderId="97" xfId="0" applyFont="1" applyFill="1" applyBorder="1" applyAlignment="1">
      <alignment horizontal="center" vertical="center" wrapText="1"/>
    </xf>
    <xf numFmtId="0" fontId="56" fillId="48" borderId="62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right" vertical="center"/>
    </xf>
    <xf numFmtId="0" fontId="8" fillId="0" borderId="27" xfId="0" applyFont="1" applyBorder="1"/>
    <xf numFmtId="0" fontId="60" fillId="48" borderId="99" xfId="0" applyFont="1" applyFill="1" applyBorder="1" applyAlignment="1">
      <alignment horizontal="center" vertical="center" wrapText="1"/>
    </xf>
    <xf numFmtId="0" fontId="60" fillId="48" borderId="64" xfId="0" applyFont="1" applyFill="1" applyBorder="1" applyAlignment="1">
      <alignment horizontal="center" vertical="center" wrapText="1"/>
    </xf>
    <xf numFmtId="0" fontId="60" fillId="48" borderId="60" xfId="0" applyFont="1" applyFill="1" applyBorder="1" applyAlignment="1">
      <alignment horizontal="center" vertical="center" wrapText="1"/>
    </xf>
    <xf numFmtId="0" fontId="60" fillId="48" borderId="61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vertical="center" wrapText="1"/>
    </xf>
    <xf numFmtId="0" fontId="1" fillId="5" borderId="19" xfId="0" applyFont="1" applyFill="1" applyBorder="1" applyAlignment="1">
      <alignment vertical="center"/>
    </xf>
    <xf numFmtId="0" fontId="1" fillId="0" borderId="219" xfId="0" applyFont="1" applyBorder="1" applyAlignment="1">
      <alignment vertical="center"/>
    </xf>
    <xf numFmtId="0" fontId="1" fillId="0" borderId="54" xfId="0" applyFont="1" applyBorder="1" applyAlignment="1">
      <alignment vertical="center"/>
    </xf>
    <xf numFmtId="0" fontId="1" fillId="0" borderId="94" xfId="0" applyFont="1" applyBorder="1" applyAlignment="1">
      <alignment vertical="center"/>
    </xf>
    <xf numFmtId="0" fontId="1" fillId="5" borderId="94" xfId="0" applyFont="1" applyFill="1" applyBorder="1" applyAlignment="1">
      <alignment vertical="center"/>
    </xf>
    <xf numFmtId="0" fontId="21" fillId="20" borderId="73" xfId="0" applyFont="1" applyFill="1" applyBorder="1" applyAlignment="1">
      <alignment vertical="center"/>
    </xf>
    <xf numFmtId="0" fontId="21" fillId="20" borderId="94" xfId="0" applyFont="1" applyFill="1" applyBorder="1" applyAlignment="1">
      <alignment vertical="center"/>
    </xf>
    <xf numFmtId="0" fontId="1" fillId="8" borderId="94" xfId="0" applyFont="1" applyFill="1" applyBorder="1" applyAlignment="1">
      <alignment vertical="center"/>
    </xf>
    <xf numFmtId="0" fontId="22" fillId="0" borderId="73" xfId="0" applyFont="1" applyBorder="1" applyAlignment="1">
      <alignment vertical="center"/>
    </xf>
    <xf numFmtId="0" fontId="22" fillId="0" borderId="94" xfId="0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167" fontId="1" fillId="0" borderId="37" xfId="4" applyNumberFormat="1" applyFont="1" applyFill="1" applyBorder="1" applyAlignment="1">
      <alignment horizontal="center" vertical="center"/>
    </xf>
    <xf numFmtId="0" fontId="1" fillId="8" borderId="169" xfId="0" applyFont="1" applyFill="1" applyBorder="1" applyAlignment="1">
      <alignment horizontal="center" vertical="center"/>
    </xf>
    <xf numFmtId="0" fontId="1" fillId="0" borderId="169" xfId="0" applyFont="1" applyBorder="1" applyAlignment="1">
      <alignment horizontal="center" vertical="center"/>
    </xf>
    <xf numFmtId="0" fontId="1" fillId="8" borderId="105" xfId="0" applyFont="1" applyFill="1" applyBorder="1" applyAlignment="1">
      <alignment vertical="center"/>
    </xf>
    <xf numFmtId="0" fontId="1" fillId="8" borderId="61" xfId="0" applyFont="1" applyFill="1" applyBorder="1" applyAlignment="1">
      <alignment horizontal="left" vertical="center" wrapText="1"/>
    </xf>
    <xf numFmtId="0" fontId="1" fillId="0" borderId="65" xfId="0" applyFont="1" applyBorder="1" applyAlignment="1">
      <alignment horizontal="left" vertical="center"/>
    </xf>
    <xf numFmtId="0" fontId="1" fillId="8" borderId="65" xfId="0" applyFont="1" applyFill="1" applyBorder="1" applyAlignment="1">
      <alignment horizontal="left" vertical="center"/>
    </xf>
    <xf numFmtId="0" fontId="5" fillId="7" borderId="96" xfId="0" applyFont="1" applyFill="1" applyBorder="1" applyAlignment="1">
      <alignment vertical="center" wrapText="1"/>
    </xf>
    <xf numFmtId="0" fontId="5" fillId="7" borderId="125" xfId="0" applyFont="1" applyFill="1" applyBorder="1" applyAlignment="1">
      <alignment horizontal="center" vertical="center" wrapText="1"/>
    </xf>
    <xf numFmtId="0" fontId="1" fillId="7" borderId="97" xfId="0" applyFont="1" applyFill="1" applyBorder="1" applyAlignment="1">
      <alignment horizontal="center" vertical="center" wrapText="1"/>
    </xf>
    <xf numFmtId="0" fontId="1" fillId="7" borderId="62" xfId="0" applyFont="1" applyFill="1" applyBorder="1" applyAlignment="1">
      <alignment horizontal="left" vertical="center"/>
    </xf>
    <xf numFmtId="0" fontId="1" fillId="7" borderId="125" xfId="0" applyFont="1" applyFill="1" applyBorder="1" applyAlignment="1">
      <alignment horizontal="left" vertical="center" wrapText="1"/>
    </xf>
    <xf numFmtId="165" fontId="5" fillId="7" borderId="62" xfId="0" applyNumberFormat="1" applyFont="1" applyFill="1" applyBorder="1" applyAlignment="1">
      <alignment horizontal="center"/>
    </xf>
    <xf numFmtId="42" fontId="1" fillId="0" borderId="220" xfId="0" applyNumberFormat="1" applyFont="1" applyBorder="1" applyAlignment="1">
      <alignment vertical="center"/>
    </xf>
    <xf numFmtId="0" fontId="1" fillId="0" borderId="123" xfId="0" applyFont="1" applyBorder="1" applyAlignment="1">
      <alignment horizontal="left" vertical="center"/>
    </xf>
    <xf numFmtId="167" fontId="1" fillId="0" borderId="34" xfId="4" applyNumberFormat="1" applyFont="1" applyFill="1" applyBorder="1" applyAlignment="1">
      <alignment horizontal="center" vertical="center"/>
    </xf>
    <xf numFmtId="0" fontId="5" fillId="8" borderId="115" xfId="0" applyFont="1" applyFill="1" applyBorder="1" applyAlignment="1">
      <alignment horizontal="center" vertical="center"/>
    </xf>
    <xf numFmtId="0" fontId="1" fillId="8" borderId="139" xfId="0" applyFont="1" applyFill="1" applyBorder="1" applyAlignment="1">
      <alignment vertical="center"/>
    </xf>
    <xf numFmtId="42" fontId="1" fillId="0" borderId="64" xfId="1" applyFont="1" applyFill="1" applyBorder="1" applyAlignment="1">
      <alignment horizontal="center" vertical="center"/>
    </xf>
    <xf numFmtId="1" fontId="1" fillId="0" borderId="95" xfId="0" applyNumberFormat="1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1" fontId="1" fillId="8" borderId="96" xfId="0" applyNumberFormat="1" applyFont="1" applyFill="1" applyBorder="1" applyAlignment="1">
      <alignment horizontal="center" vertical="center"/>
    </xf>
    <xf numFmtId="0" fontId="1" fillId="8" borderId="97" xfId="0" applyFont="1" applyFill="1" applyBorder="1" applyAlignment="1">
      <alignment horizontal="center" vertical="center"/>
    </xf>
    <xf numFmtId="0" fontId="1" fillId="8" borderId="97" xfId="0" applyFont="1" applyFill="1" applyBorder="1" applyAlignment="1">
      <alignment horizontal="left" vertical="center"/>
    </xf>
    <xf numFmtId="42" fontId="1" fillId="8" borderId="62" xfId="1" applyFont="1" applyFill="1" applyBorder="1" applyAlignment="1">
      <alignment horizontal="center" vertical="center"/>
    </xf>
    <xf numFmtId="42" fontId="1" fillId="0" borderId="0" xfId="0" applyNumberFormat="1" applyFont="1" applyAlignment="1">
      <alignment vertical="center" wrapText="1"/>
    </xf>
    <xf numFmtId="0" fontId="1" fillId="0" borderId="69" xfId="0" applyFont="1" applyBorder="1" applyAlignment="1">
      <alignment horizontal="center" vertical="center"/>
    </xf>
    <xf numFmtId="0" fontId="56" fillId="7" borderId="97" xfId="0" applyFont="1" applyFill="1" applyBorder="1" applyAlignment="1">
      <alignment horizontal="center" vertical="center" wrapText="1"/>
    </xf>
    <xf numFmtId="0" fontId="56" fillId="7" borderId="62" xfId="0" applyFont="1" applyFill="1" applyBorder="1" applyAlignment="1">
      <alignment horizontal="center" vertical="center" wrapText="1"/>
    </xf>
    <xf numFmtId="0" fontId="60" fillId="7" borderId="99" xfId="0" applyFont="1" applyFill="1" applyBorder="1" applyAlignment="1">
      <alignment horizontal="center" vertical="center" wrapText="1"/>
    </xf>
    <xf numFmtId="0" fontId="60" fillId="7" borderId="64" xfId="0" applyFont="1" applyFill="1" applyBorder="1" applyAlignment="1">
      <alignment horizontal="center" vertical="center" wrapText="1"/>
    </xf>
    <xf numFmtId="167" fontId="5" fillId="10" borderId="65" xfId="4" applyNumberFormat="1" applyFont="1" applyFill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42" fontId="1" fillId="26" borderId="58" xfId="1" applyFont="1" applyFill="1" applyBorder="1" applyAlignment="1">
      <alignment horizontal="center" vertical="center"/>
    </xf>
    <xf numFmtId="0" fontId="1" fillId="0" borderId="36" xfId="0" applyFont="1" applyBorder="1" applyAlignment="1">
      <alignment vertical="center"/>
    </xf>
    <xf numFmtId="0" fontId="5" fillId="0" borderId="158" xfId="0" applyFont="1" applyBorder="1" applyAlignment="1">
      <alignment horizontal="center" vertical="center"/>
    </xf>
    <xf numFmtId="0" fontId="5" fillId="20" borderId="118" xfId="0" applyFont="1" applyFill="1" applyBorder="1" applyAlignment="1">
      <alignment horizontal="left" vertical="center"/>
    </xf>
    <xf numFmtId="0" fontId="35" fillId="41" borderId="8" xfId="0" applyFont="1" applyFill="1" applyBorder="1" applyAlignment="1">
      <alignment horizontal="center" vertical="center"/>
    </xf>
    <xf numFmtId="0" fontId="38" fillId="65" borderId="6" xfId="0" applyFont="1" applyFill="1" applyBorder="1" applyAlignment="1">
      <alignment horizontal="left" vertical="center"/>
    </xf>
    <xf numFmtId="1" fontId="31" fillId="10" borderId="11" xfId="0" applyNumberFormat="1" applyFont="1" applyFill="1" applyBorder="1" applyAlignment="1">
      <alignment horizontal="center" vertical="center"/>
    </xf>
    <xf numFmtId="1" fontId="31" fillId="10" borderId="59" xfId="0" applyNumberFormat="1" applyFont="1" applyFill="1" applyBorder="1" applyAlignment="1">
      <alignment horizontal="center" vertical="center"/>
    </xf>
    <xf numFmtId="1" fontId="31" fillId="41" borderId="11" xfId="0" applyNumberFormat="1" applyFont="1" applyFill="1" applyBorder="1" applyAlignment="1">
      <alignment horizontal="center" vertical="center"/>
    </xf>
    <xf numFmtId="1" fontId="31" fillId="41" borderId="59" xfId="0" applyNumberFormat="1" applyFont="1" applyFill="1" applyBorder="1" applyAlignment="1">
      <alignment horizontal="center" vertical="center"/>
    </xf>
    <xf numFmtId="0" fontId="44" fillId="41" borderId="162" xfId="0" applyFont="1" applyFill="1" applyBorder="1" applyAlignment="1">
      <alignment horizontal="center" vertical="center"/>
    </xf>
    <xf numFmtId="0" fontId="44" fillId="41" borderId="10" xfId="0" applyFont="1" applyFill="1" applyBorder="1" applyAlignment="1">
      <alignment horizontal="center" vertical="center"/>
    </xf>
    <xf numFmtId="0" fontId="36" fillId="41" borderId="10" xfId="0" applyFont="1" applyFill="1" applyBorder="1" applyAlignment="1">
      <alignment horizontal="center" vertical="center"/>
    </xf>
    <xf numFmtId="0" fontId="39" fillId="45" borderId="11" xfId="0" applyFont="1" applyFill="1" applyBorder="1" applyAlignment="1">
      <alignment horizontal="left" vertical="center"/>
    </xf>
    <xf numFmtId="1" fontId="38" fillId="57" borderId="6" xfId="0" applyNumberFormat="1" applyFont="1" applyFill="1" applyBorder="1" applyAlignment="1">
      <alignment horizontal="center" vertical="center"/>
    </xf>
    <xf numFmtId="0" fontId="44" fillId="16" borderId="162" xfId="0" applyFont="1" applyFill="1" applyBorder="1" applyAlignment="1">
      <alignment horizontal="center" vertical="center"/>
    </xf>
    <xf numFmtId="0" fontId="44" fillId="16" borderId="10" xfId="0" applyFont="1" applyFill="1" applyBorder="1" applyAlignment="1">
      <alignment horizontal="center" vertical="center"/>
    </xf>
    <xf numFmtId="0" fontId="44" fillId="40" borderId="10" xfId="0" applyFont="1" applyFill="1" applyBorder="1" applyAlignment="1">
      <alignment horizontal="center" vertical="center"/>
    </xf>
    <xf numFmtId="0" fontId="36" fillId="16" borderId="10" xfId="0" applyFont="1" applyFill="1" applyBorder="1" applyAlignment="1">
      <alignment horizontal="center" vertical="center"/>
    </xf>
    <xf numFmtId="0" fontId="36" fillId="40" borderId="10" xfId="0" applyFont="1" applyFill="1" applyBorder="1" applyAlignment="1">
      <alignment horizontal="center" vertical="center"/>
    </xf>
    <xf numFmtId="0" fontId="35" fillId="10" borderId="6" xfId="0" applyFont="1" applyFill="1" applyBorder="1" applyAlignment="1">
      <alignment horizontal="center" vertical="center"/>
    </xf>
    <xf numFmtId="0" fontId="1" fillId="39" borderId="9" xfId="0" applyFont="1" applyFill="1" applyBorder="1" applyAlignment="1">
      <alignment vertical="center"/>
    </xf>
    <xf numFmtId="0" fontId="0" fillId="0" borderId="106" xfId="0" applyBorder="1"/>
    <xf numFmtId="0" fontId="0" fillId="41" borderId="21" xfId="0" applyFill="1" applyBorder="1"/>
    <xf numFmtId="0" fontId="5" fillId="8" borderId="69" xfId="0" applyFont="1" applyFill="1" applyBorder="1" applyAlignment="1">
      <alignment horizontal="left" vertical="center"/>
    </xf>
    <xf numFmtId="42" fontId="5" fillId="8" borderId="90" xfId="0" applyNumberFormat="1" applyFont="1" applyFill="1" applyBorder="1" applyAlignment="1">
      <alignment horizontal="center" vertical="center"/>
    </xf>
    <xf numFmtId="0" fontId="1" fillId="19" borderId="51" xfId="0" applyFont="1" applyFill="1" applyBorder="1" applyAlignment="1">
      <alignment horizontal="center" vertical="center"/>
    </xf>
    <xf numFmtId="42" fontId="1" fillId="19" borderId="55" xfId="0" applyNumberFormat="1" applyFont="1" applyFill="1" applyBorder="1" applyAlignment="1">
      <alignment horizontal="center" vertical="center"/>
    </xf>
    <xf numFmtId="0" fontId="1" fillId="20" borderId="174" xfId="0" applyFont="1" applyFill="1" applyBorder="1" applyAlignment="1">
      <alignment horizontal="left" vertical="center"/>
    </xf>
    <xf numFmtId="0" fontId="1" fillId="0" borderId="48" xfId="0" applyFont="1" applyBorder="1" applyAlignment="1">
      <alignment vertical="center"/>
    </xf>
    <xf numFmtId="0" fontId="1" fillId="15" borderId="43" xfId="0" applyFont="1" applyFill="1" applyBorder="1" applyAlignment="1">
      <alignment horizontal="center" vertical="center"/>
    </xf>
    <xf numFmtId="0" fontId="22" fillId="15" borderId="177" xfId="0" applyFont="1" applyFill="1" applyBorder="1" applyAlignment="1">
      <alignment vertical="center"/>
    </xf>
    <xf numFmtId="0" fontId="1" fillId="0" borderId="33" xfId="0" applyFont="1" applyBorder="1" applyAlignment="1">
      <alignment horizontal="center"/>
    </xf>
    <xf numFmtId="0" fontId="1" fillId="7" borderId="28" xfId="0" applyFont="1" applyFill="1" applyBorder="1" applyAlignment="1">
      <alignment horizontal="center"/>
    </xf>
    <xf numFmtId="1" fontId="5" fillId="10" borderId="40" xfId="0" applyNumberFormat="1" applyFont="1" applyFill="1" applyBorder="1" applyAlignment="1">
      <alignment horizontal="center" vertical="center"/>
    </xf>
    <xf numFmtId="0" fontId="1" fillId="10" borderId="73" xfId="0" applyFont="1" applyFill="1" applyBorder="1" applyAlignment="1">
      <alignment vertical="center"/>
    </xf>
    <xf numFmtId="0" fontId="15" fillId="66" borderId="104" xfId="0" applyFont="1" applyFill="1" applyBorder="1" applyAlignment="1">
      <alignment vertical="center"/>
    </xf>
    <xf numFmtId="0" fontId="15" fillId="7" borderId="103" xfId="0" applyFont="1" applyFill="1" applyBorder="1" applyAlignment="1">
      <alignment vertical="center"/>
    </xf>
    <xf numFmtId="0" fontId="15" fillId="7" borderId="84" xfId="0" applyFont="1" applyFill="1" applyBorder="1" applyAlignment="1">
      <alignment vertical="center"/>
    </xf>
    <xf numFmtId="0" fontId="0" fillId="10" borderId="21" xfId="0" applyFill="1" applyBorder="1"/>
    <xf numFmtId="0" fontId="5" fillId="10" borderId="14" xfId="0" applyFont="1" applyFill="1" applyBorder="1" applyAlignment="1">
      <alignment horizontal="center" vertical="center"/>
    </xf>
    <xf numFmtId="0" fontId="5" fillId="16" borderId="14" xfId="0" applyFont="1" applyFill="1" applyBorder="1" applyAlignment="1">
      <alignment horizontal="center" vertical="center"/>
    </xf>
    <xf numFmtId="0" fontId="5" fillId="10" borderId="47" xfId="0" applyFont="1" applyFill="1" applyBorder="1" applyAlignment="1">
      <alignment horizontal="center" vertical="center"/>
    </xf>
    <xf numFmtId="0" fontId="5" fillId="10" borderId="77" xfId="0" applyFont="1" applyFill="1" applyBorder="1" applyAlignment="1">
      <alignment horizontal="center" vertical="center"/>
    </xf>
    <xf numFmtId="1" fontId="5" fillId="10" borderId="14" xfId="0" applyNumberFormat="1" applyFont="1" applyFill="1" applyBorder="1" applyAlignment="1">
      <alignment horizontal="center" vertical="center"/>
    </xf>
    <xf numFmtId="1" fontId="5" fillId="16" borderId="14" xfId="0" applyNumberFormat="1" applyFont="1" applyFill="1" applyBorder="1" applyAlignment="1">
      <alignment horizontal="center" vertical="center"/>
    </xf>
    <xf numFmtId="0" fontId="22" fillId="8" borderId="127" xfId="0" applyFont="1" applyFill="1" applyBorder="1" applyAlignment="1">
      <alignment vertical="center"/>
    </xf>
    <xf numFmtId="0" fontId="22" fillId="8" borderId="118" xfId="0" applyFont="1" applyFill="1" applyBorder="1" applyAlignment="1">
      <alignment vertical="center"/>
    </xf>
    <xf numFmtId="42" fontId="22" fillId="8" borderId="128" xfId="1" applyFont="1" applyFill="1" applyBorder="1" applyAlignment="1">
      <alignment horizontal="center" vertical="center"/>
    </xf>
    <xf numFmtId="0" fontId="1" fillId="26" borderId="32" xfId="0" applyFont="1" applyFill="1" applyBorder="1" applyAlignment="1">
      <alignment horizontal="center" vertical="center"/>
    </xf>
    <xf numFmtId="0" fontId="65" fillId="0" borderId="77" xfId="0" applyFont="1" applyBorder="1" applyAlignment="1">
      <alignment horizontal="center" vertical="center"/>
    </xf>
    <xf numFmtId="0" fontId="5" fillId="16" borderId="40" xfId="0" applyFont="1" applyFill="1" applyBorder="1" applyAlignment="1">
      <alignment horizontal="center" vertical="center"/>
    </xf>
    <xf numFmtId="1" fontId="5" fillId="10" borderId="66" xfId="0" applyNumberFormat="1" applyFont="1" applyFill="1" applyBorder="1" applyAlignment="1">
      <alignment horizontal="center" vertical="center"/>
    </xf>
    <xf numFmtId="1" fontId="5" fillId="10" borderId="20" xfId="0" applyNumberFormat="1" applyFont="1" applyFill="1" applyBorder="1" applyAlignment="1">
      <alignment horizontal="center" vertical="center"/>
    </xf>
    <xf numFmtId="1" fontId="5" fillId="16" borderId="170" xfId="0" applyNumberFormat="1" applyFont="1" applyFill="1" applyBorder="1" applyAlignment="1">
      <alignment horizontal="center" vertical="center"/>
    </xf>
    <xf numFmtId="1" fontId="5" fillId="16" borderId="47" xfId="0" applyNumberFormat="1" applyFont="1" applyFill="1" applyBorder="1" applyAlignment="1">
      <alignment horizontal="center" vertical="center"/>
    </xf>
    <xf numFmtId="1" fontId="5" fillId="10" borderId="186" xfId="0" applyNumberFormat="1" applyFont="1" applyFill="1" applyBorder="1" applyAlignment="1">
      <alignment horizontal="center" vertical="center"/>
    </xf>
    <xf numFmtId="1" fontId="5" fillId="10" borderId="81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0" fontId="22" fillId="20" borderId="94" xfId="0" applyFont="1" applyFill="1" applyBorder="1" applyAlignment="1">
      <alignment vertical="center"/>
    </xf>
    <xf numFmtId="42" fontId="22" fillId="20" borderId="178" xfId="1" applyFont="1" applyFill="1" applyBorder="1" applyAlignment="1">
      <alignment horizontal="center" vertical="center"/>
    </xf>
    <xf numFmtId="0" fontId="21" fillId="20" borderId="85" xfId="0" applyFont="1" applyFill="1" applyBorder="1" applyAlignment="1">
      <alignment vertical="center"/>
    </xf>
    <xf numFmtId="0" fontId="21" fillId="20" borderId="141" xfId="0" applyFont="1" applyFill="1" applyBorder="1" applyAlignment="1">
      <alignment vertical="center"/>
    </xf>
    <xf numFmtId="0" fontId="1" fillId="7" borderId="30" xfId="0" applyFont="1" applyFill="1" applyBorder="1" applyAlignment="1">
      <alignment horizontal="center" vertical="center"/>
    </xf>
    <xf numFmtId="42" fontId="1" fillId="7" borderId="28" xfId="0" applyNumberFormat="1" applyFont="1" applyFill="1" applyBorder="1" applyAlignment="1">
      <alignment vertical="center"/>
    </xf>
    <xf numFmtId="42" fontId="1" fillId="7" borderId="33" xfId="0" applyNumberFormat="1" applyFont="1" applyFill="1" applyBorder="1" applyAlignment="1">
      <alignment vertical="center"/>
    </xf>
    <xf numFmtId="0" fontId="25" fillId="7" borderId="102" xfId="0" applyFont="1" applyFill="1" applyBorder="1" applyAlignment="1">
      <alignment horizontal="left" vertical="top"/>
    </xf>
    <xf numFmtId="0" fontId="25" fillId="7" borderId="106" xfId="0" applyFont="1" applyFill="1" applyBorder="1" applyAlignment="1">
      <alignment horizontal="left" vertical="top"/>
    </xf>
    <xf numFmtId="0" fontId="25" fillId="7" borderId="104" xfId="0" applyFont="1" applyFill="1" applyBorder="1" applyAlignment="1">
      <alignment horizontal="left" vertical="top"/>
    </xf>
    <xf numFmtId="0" fontId="25" fillId="7" borderId="105" xfId="0" applyFont="1" applyFill="1" applyBorder="1" applyAlignment="1">
      <alignment horizontal="left" vertical="top"/>
    </xf>
    <xf numFmtId="0" fontId="25" fillId="7" borderId="21" xfId="0" applyFont="1" applyFill="1" applyBorder="1" applyAlignment="1">
      <alignment horizontal="left" vertical="top"/>
    </xf>
    <xf numFmtId="0" fontId="25" fillId="7" borderId="103" xfId="0" applyFont="1" applyFill="1" applyBorder="1" applyAlignment="1">
      <alignment horizontal="left" vertical="top"/>
    </xf>
    <xf numFmtId="0" fontId="25" fillId="7" borderId="107" xfId="0" applyFont="1" applyFill="1" applyBorder="1" applyAlignment="1">
      <alignment horizontal="left" vertical="top"/>
    </xf>
    <xf numFmtId="0" fontId="25" fillId="7" borderId="36" xfId="0" applyFont="1" applyFill="1" applyBorder="1" applyAlignment="1">
      <alignment horizontal="left" vertical="top"/>
    </xf>
    <xf numFmtId="0" fontId="25" fillId="7" borderId="84" xfId="0" applyFont="1" applyFill="1" applyBorder="1" applyAlignment="1">
      <alignment horizontal="left" vertical="top"/>
    </xf>
    <xf numFmtId="0" fontId="1" fillId="0" borderId="31" xfId="0" applyFont="1" applyBorder="1" applyAlignment="1">
      <alignment horizontal="center" vertical="center"/>
    </xf>
    <xf numFmtId="0" fontId="1" fillId="20" borderId="59" xfId="0" applyFont="1" applyFill="1" applyBorder="1" applyAlignment="1">
      <alignment horizontal="left" vertical="center"/>
    </xf>
    <xf numFmtId="0" fontId="38" fillId="10" borderId="8" xfId="0" applyFont="1" applyFill="1" applyBorder="1" applyAlignment="1">
      <alignment horizontal="left" vertical="center"/>
    </xf>
    <xf numFmtId="1" fontId="31" fillId="10" borderId="143" xfId="0" applyNumberFormat="1" applyFont="1" applyFill="1" applyBorder="1" applyAlignment="1">
      <alignment horizontal="center" vertical="center"/>
    </xf>
    <xf numFmtId="0" fontId="5" fillId="7" borderId="59" xfId="0" applyFont="1" applyFill="1" applyBorder="1" applyAlignment="1">
      <alignment vertical="center"/>
    </xf>
    <xf numFmtId="0" fontId="38" fillId="67" borderId="6" xfId="0" applyFont="1" applyFill="1" applyBorder="1" applyAlignment="1">
      <alignment horizontal="left" vertical="center"/>
    </xf>
    <xf numFmtId="0" fontId="1" fillId="0" borderId="61" xfId="0" applyFont="1" applyBorder="1" applyAlignment="1">
      <alignment horizontal="center" vertical="center"/>
    </xf>
    <xf numFmtId="0" fontId="1" fillId="8" borderId="61" xfId="0" applyFont="1" applyFill="1" applyBorder="1" applyAlignment="1">
      <alignment horizontal="center" vertical="center"/>
    </xf>
    <xf numFmtId="0" fontId="0" fillId="0" borderId="30" xfId="0" applyBorder="1"/>
    <xf numFmtId="0" fontId="1" fillId="8" borderId="222" xfId="0" applyFont="1" applyFill="1" applyBorder="1" applyAlignment="1">
      <alignment horizontal="center" vertical="center"/>
    </xf>
    <xf numFmtId="0" fontId="1" fillId="8" borderId="223" xfId="0" applyFont="1" applyFill="1" applyBorder="1" applyAlignment="1">
      <alignment horizontal="left" vertical="center"/>
    </xf>
    <xf numFmtId="0" fontId="1" fillId="0" borderId="214" xfId="0" applyFont="1" applyBorder="1" applyAlignment="1">
      <alignment horizontal="center" vertical="center"/>
    </xf>
    <xf numFmtId="0" fontId="1" fillId="0" borderId="214" xfId="0" applyFont="1" applyBorder="1" applyAlignment="1">
      <alignment vertical="center"/>
    </xf>
    <xf numFmtId="0" fontId="1" fillId="0" borderId="198" xfId="0" applyFont="1" applyBorder="1" applyAlignment="1">
      <alignment horizontal="center" vertical="center"/>
    </xf>
    <xf numFmtId="0" fontId="1" fillId="0" borderId="201" xfId="0" applyFont="1" applyBorder="1" applyAlignment="1">
      <alignment vertical="center"/>
    </xf>
    <xf numFmtId="0" fontId="1" fillId="7" borderId="158" xfId="0" applyFont="1" applyFill="1" applyBorder="1" applyAlignment="1">
      <alignment vertical="center"/>
    </xf>
    <xf numFmtId="0" fontId="1" fillId="7" borderId="141" xfId="0" applyFont="1" applyFill="1" applyBorder="1" applyAlignment="1">
      <alignment vertical="center"/>
    </xf>
    <xf numFmtId="0" fontId="1" fillId="18" borderId="198" xfId="0" applyFont="1" applyFill="1" applyBorder="1" applyAlignment="1">
      <alignment horizontal="center" vertical="center"/>
    </xf>
    <xf numFmtId="0" fontId="1" fillId="18" borderId="203" xfId="0" applyFont="1" applyFill="1" applyBorder="1" applyAlignment="1">
      <alignment horizontal="center" vertical="center"/>
    </xf>
    <xf numFmtId="42" fontId="1" fillId="0" borderId="214" xfId="0" applyNumberFormat="1" applyFont="1" applyBorder="1" applyAlignment="1">
      <alignment vertical="center"/>
    </xf>
    <xf numFmtId="0" fontId="1" fillId="8" borderId="202" xfId="0" applyFont="1" applyFill="1" applyBorder="1" applyAlignment="1">
      <alignment horizontal="left" vertical="center"/>
    </xf>
    <xf numFmtId="42" fontId="1" fillId="68" borderId="203" xfId="0" applyNumberFormat="1" applyFont="1" applyFill="1" applyBorder="1" applyAlignment="1">
      <alignment horizontal="center" vertical="center"/>
    </xf>
    <xf numFmtId="0" fontId="1" fillId="8" borderId="97" xfId="0" applyFont="1" applyFill="1" applyBorder="1" applyAlignment="1">
      <alignment vertical="center"/>
    </xf>
    <xf numFmtId="0" fontId="1" fillId="68" borderId="61" xfId="0" applyFont="1" applyFill="1" applyBorder="1" applyAlignment="1">
      <alignment vertical="center"/>
    </xf>
    <xf numFmtId="42" fontId="1" fillId="68" borderId="65" xfId="0" applyNumberFormat="1" applyFont="1" applyFill="1" applyBorder="1" applyAlignment="1">
      <alignment horizontal="center" vertical="center"/>
    </xf>
    <xf numFmtId="42" fontId="1" fillId="68" borderId="62" xfId="0" applyNumberFormat="1" applyFont="1" applyFill="1" applyBorder="1" applyAlignment="1">
      <alignment horizontal="center" vertical="center"/>
    </xf>
    <xf numFmtId="42" fontId="1" fillId="68" borderId="224" xfId="0" applyNumberFormat="1" applyFont="1" applyFill="1" applyBorder="1" applyAlignment="1">
      <alignment horizontal="center" vertical="center"/>
    </xf>
    <xf numFmtId="42" fontId="1" fillId="68" borderId="50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8" fillId="41" borderId="59" xfId="0" applyFont="1" applyFill="1" applyBorder="1" applyAlignment="1">
      <alignment horizontal="center" vertical="center"/>
    </xf>
    <xf numFmtId="0" fontId="66" fillId="46" borderId="6" xfId="0" applyFont="1" applyFill="1" applyBorder="1" applyAlignment="1">
      <alignment horizontal="center" vertical="center"/>
    </xf>
    <xf numFmtId="0" fontId="38" fillId="7" borderId="6" xfId="0" applyFont="1" applyFill="1" applyBorder="1" applyAlignment="1">
      <alignment horizontal="center" vertical="center"/>
    </xf>
    <xf numFmtId="0" fontId="38" fillId="0" borderId="59" xfId="0" applyFont="1" applyBorder="1" applyAlignment="1">
      <alignment horizontal="center" vertical="center"/>
    </xf>
    <xf numFmtId="0" fontId="66" fillId="69" borderId="6" xfId="0" applyFont="1" applyFill="1" applyBorder="1" applyAlignment="1">
      <alignment horizontal="center" vertical="center"/>
    </xf>
    <xf numFmtId="0" fontId="38" fillId="69" borderId="59" xfId="0" applyFont="1" applyFill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8" fillId="7" borderId="8" xfId="0" applyFont="1" applyFill="1" applyBorder="1" applyAlignment="1">
      <alignment horizontal="center" vertical="center"/>
    </xf>
    <xf numFmtId="0" fontId="35" fillId="41" borderId="59" xfId="0" applyFont="1" applyFill="1" applyBorder="1" applyAlignment="1">
      <alignment horizontal="left" vertical="center"/>
    </xf>
    <xf numFmtId="1" fontId="35" fillId="0" borderId="21" xfId="0" applyNumberFormat="1" applyFont="1" applyBorder="1" applyAlignment="1">
      <alignment horizontal="center" vertical="center"/>
    </xf>
    <xf numFmtId="0" fontId="38" fillId="41" borderId="152" xfId="0" applyFont="1" applyFill="1" applyBorder="1" applyAlignment="1">
      <alignment horizontal="center" vertical="center"/>
    </xf>
    <xf numFmtId="0" fontId="35" fillId="41" borderId="143" xfId="0" applyFont="1" applyFill="1" applyBorder="1" applyAlignment="1">
      <alignment horizontal="center" vertical="center"/>
    </xf>
    <xf numFmtId="0" fontId="35" fillId="41" borderId="111" xfId="0" applyFont="1" applyFill="1" applyBorder="1" applyAlignment="1">
      <alignment horizontal="left" vertical="center"/>
    </xf>
    <xf numFmtId="0" fontId="35" fillId="41" borderId="145" xfId="0" applyFont="1" applyFill="1" applyBorder="1" applyAlignment="1">
      <alignment horizontal="center" vertical="center"/>
    </xf>
    <xf numFmtId="0" fontId="15" fillId="14" borderId="105" xfId="0" applyFont="1" applyFill="1" applyBorder="1" applyAlignment="1">
      <alignment vertical="center"/>
    </xf>
    <xf numFmtId="0" fontId="15" fillId="14" borderId="107" xfId="0" applyFont="1" applyFill="1" applyBorder="1" applyAlignment="1">
      <alignment vertical="center"/>
    </xf>
    <xf numFmtId="0" fontId="38" fillId="7" borderId="11" xfId="0" applyFont="1" applyFill="1" applyBorder="1" applyAlignment="1">
      <alignment horizontal="center" vertical="center"/>
    </xf>
    <xf numFmtId="0" fontId="38" fillId="0" borderId="139" xfId="0" applyFont="1" applyBorder="1" applyAlignment="1">
      <alignment horizontal="center" vertical="center"/>
    </xf>
    <xf numFmtId="0" fontId="35" fillId="0" borderId="59" xfId="0" applyFont="1" applyBorder="1" applyAlignment="1">
      <alignment horizontal="center" vertical="center"/>
    </xf>
    <xf numFmtId="0" fontId="38" fillId="69" borderId="11" xfId="0" applyFont="1" applyFill="1" applyBorder="1" applyAlignment="1">
      <alignment horizontal="center" vertical="center"/>
    </xf>
    <xf numFmtId="0" fontId="38" fillId="69" borderId="139" xfId="0" applyFont="1" applyFill="1" applyBorder="1" applyAlignment="1">
      <alignment horizontal="center" vertical="center"/>
    </xf>
    <xf numFmtId="0" fontId="38" fillId="0" borderId="8" xfId="0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0" fontId="66" fillId="46" borderId="11" xfId="0" applyFont="1" applyFill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5" fillId="41" borderId="59" xfId="0" applyFont="1" applyFill="1" applyBorder="1" applyAlignment="1">
      <alignment horizontal="center" vertical="center"/>
    </xf>
    <xf numFmtId="0" fontId="38" fillId="41" borderId="139" xfId="0" applyFont="1" applyFill="1" applyBorder="1" applyAlignment="1">
      <alignment horizontal="center" vertical="center"/>
    </xf>
    <xf numFmtId="0" fontId="70" fillId="70" borderId="0" xfId="0" applyFont="1" applyFill="1" applyAlignment="1">
      <alignment vertical="center"/>
    </xf>
    <xf numFmtId="0" fontId="70" fillId="70" borderId="0" xfId="0" applyFont="1" applyFill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1" fillId="65" borderId="172" xfId="0" applyFont="1" applyFill="1" applyBorder="1" applyAlignment="1">
      <alignment vertical="center"/>
    </xf>
    <xf numFmtId="42" fontId="1" fillId="65" borderId="50" xfId="0" applyNumberFormat="1" applyFont="1" applyFill="1" applyBorder="1" applyAlignment="1">
      <alignment horizontal="center" vertical="center"/>
    </xf>
    <xf numFmtId="0" fontId="5" fillId="65" borderId="91" xfId="0" applyFont="1" applyFill="1" applyBorder="1" applyAlignment="1">
      <alignment vertical="center"/>
    </xf>
    <xf numFmtId="0" fontId="55" fillId="48" borderId="195" xfId="0" applyFont="1" applyFill="1" applyBorder="1" applyAlignment="1">
      <alignment horizontal="center" vertical="center" wrapText="1"/>
    </xf>
    <xf numFmtId="0" fontId="58" fillId="48" borderId="123" xfId="0" applyFont="1" applyFill="1" applyBorder="1" applyAlignment="1">
      <alignment horizontal="center" vertical="center" wrapText="1"/>
    </xf>
    <xf numFmtId="0" fontId="58" fillId="48" borderId="151" xfId="0" applyFont="1" applyFill="1" applyBorder="1" applyAlignment="1">
      <alignment horizontal="center" vertical="center" wrapText="1"/>
    </xf>
    <xf numFmtId="0" fontId="59" fillId="48" borderId="212" xfId="0" applyFont="1" applyFill="1" applyBorder="1" applyAlignment="1">
      <alignment horizontal="center" vertical="center"/>
    </xf>
    <xf numFmtId="0" fontId="59" fillId="48" borderId="209" xfId="0" applyFont="1" applyFill="1" applyBorder="1" applyAlignment="1">
      <alignment horizontal="center" vertical="center"/>
    </xf>
    <xf numFmtId="0" fontId="14" fillId="0" borderId="230" xfId="0" applyFont="1" applyBorder="1" applyAlignment="1">
      <alignment vertical="center"/>
    </xf>
    <xf numFmtId="1" fontId="8" fillId="41" borderId="8" xfId="0" applyNumberFormat="1" applyFont="1" applyFill="1" applyBorder="1" applyAlignment="1">
      <alignment horizontal="center" vertical="center"/>
    </xf>
    <xf numFmtId="1" fontId="8" fillId="41" borderId="111" xfId="0" applyNumberFormat="1" applyFont="1" applyFill="1" applyBorder="1" applyAlignment="1">
      <alignment horizontal="center" vertical="center" wrapText="1"/>
    </xf>
    <xf numFmtId="0" fontId="0" fillId="41" borderId="59" xfId="0" applyFill="1" applyBorder="1" applyAlignment="1">
      <alignment vertical="center"/>
    </xf>
    <xf numFmtId="0" fontId="1" fillId="41" borderId="9" xfId="0" applyFont="1" applyFill="1" applyBorder="1" applyAlignment="1">
      <alignment vertical="center"/>
    </xf>
    <xf numFmtId="0" fontId="1" fillId="42" borderId="21" xfId="0" applyFont="1" applyFill="1" applyBorder="1" applyAlignment="1">
      <alignment vertical="center"/>
    </xf>
    <xf numFmtId="0" fontId="36" fillId="43" borderId="163" xfId="0" applyFont="1" applyFill="1" applyBorder="1" applyAlignment="1">
      <alignment horizontal="center" vertical="center"/>
    </xf>
    <xf numFmtId="0" fontId="36" fillId="41" borderId="21" xfId="0" applyFont="1" applyFill="1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35" fillId="0" borderId="59" xfId="0" applyFont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7" borderId="103" xfId="0" applyFill="1" applyBorder="1"/>
    <xf numFmtId="0" fontId="5" fillId="7" borderId="105" xfId="0" applyFont="1" applyFill="1" applyBorder="1" applyAlignment="1">
      <alignment vertical="center"/>
    </xf>
    <xf numFmtId="0" fontId="5" fillId="7" borderId="21" xfId="0" applyFont="1" applyFill="1" applyBorder="1" applyAlignment="1">
      <alignment vertical="center"/>
    </xf>
    <xf numFmtId="1" fontId="1" fillId="7" borderId="59" xfId="0" applyNumberFormat="1" applyFont="1" applyFill="1" applyBorder="1" applyAlignment="1">
      <alignment vertical="center"/>
    </xf>
    <xf numFmtId="0" fontId="7" fillId="7" borderId="59" xfId="0" applyFont="1" applyFill="1" applyBorder="1" applyAlignment="1">
      <alignment vertical="center"/>
    </xf>
    <xf numFmtId="0" fontId="0" fillId="7" borderId="59" xfId="0" applyFill="1" applyBorder="1" applyAlignment="1">
      <alignment vertical="center"/>
    </xf>
    <xf numFmtId="0" fontId="6" fillId="7" borderId="59" xfId="0" applyFont="1" applyFill="1" applyBorder="1" applyAlignment="1">
      <alignment vertical="center"/>
    </xf>
    <xf numFmtId="0" fontId="0" fillId="0" borderId="106" xfId="0" applyBorder="1" applyAlignment="1">
      <alignment vertical="center"/>
    </xf>
    <xf numFmtId="0" fontId="38" fillId="0" borderId="126" xfId="0" applyFont="1" applyBorder="1" applyAlignment="1">
      <alignment horizontal="center" vertical="center"/>
    </xf>
    <xf numFmtId="0" fontId="38" fillId="0" borderId="152" xfId="0" applyFont="1" applyBorder="1" applyAlignment="1">
      <alignment horizontal="center" vertical="center"/>
    </xf>
    <xf numFmtId="0" fontId="35" fillId="0" borderId="143" xfId="0" applyFont="1" applyBorder="1" applyAlignment="1">
      <alignment horizontal="center" vertical="center"/>
    </xf>
    <xf numFmtId="0" fontId="35" fillId="0" borderId="146" xfId="0" applyFont="1" applyBorder="1" applyAlignment="1">
      <alignment horizontal="center" vertical="center"/>
    </xf>
    <xf numFmtId="0" fontId="38" fillId="41" borderId="126" xfId="0" applyFont="1" applyFill="1" applyBorder="1" applyAlignment="1">
      <alignment horizontal="center" vertical="center"/>
    </xf>
    <xf numFmtId="0" fontId="38" fillId="41" borderId="193" xfId="0" applyFont="1" applyFill="1" applyBorder="1" applyAlignment="1">
      <alignment horizontal="center" vertical="center"/>
    </xf>
    <xf numFmtId="0" fontId="72" fillId="69" borderId="123" xfId="0" applyFont="1" applyFill="1" applyBorder="1" applyAlignment="1">
      <alignment horizontal="center" vertical="center" wrapText="1"/>
    </xf>
    <xf numFmtId="0" fontId="60" fillId="7" borderId="60" xfId="0" applyFont="1" applyFill="1" applyBorder="1" applyAlignment="1">
      <alignment horizontal="center" vertical="center" wrapText="1"/>
    </xf>
    <xf numFmtId="0" fontId="52" fillId="7" borderId="97" xfId="0" applyFont="1" applyFill="1" applyBorder="1" applyAlignment="1">
      <alignment horizontal="center" vertical="center" wrapText="1"/>
    </xf>
    <xf numFmtId="0" fontId="52" fillId="7" borderId="62" xfId="0" applyFont="1" applyFill="1" applyBorder="1" applyAlignment="1">
      <alignment horizontal="center" vertical="center" wrapText="1"/>
    </xf>
    <xf numFmtId="0" fontId="8" fillId="0" borderId="28" xfId="0" applyFont="1" applyBorder="1"/>
    <xf numFmtId="0" fontId="56" fillId="7" borderId="212" xfId="0" applyFont="1" applyFill="1" applyBorder="1" applyAlignment="1">
      <alignment horizontal="center" vertical="center" wrapText="1"/>
    </xf>
    <xf numFmtId="0" fontId="56" fillId="7" borderId="209" xfId="0" applyFont="1" applyFill="1" applyBorder="1" applyAlignment="1">
      <alignment horizontal="center" vertical="center" wrapText="1"/>
    </xf>
    <xf numFmtId="0" fontId="60" fillId="7" borderId="61" xfId="0" applyFont="1" applyFill="1" applyBorder="1" applyAlignment="1">
      <alignment horizontal="center" vertical="center" wrapText="1"/>
    </xf>
    <xf numFmtId="0" fontId="58" fillId="48" borderId="125" xfId="0" applyFont="1" applyFill="1" applyBorder="1" applyAlignment="1">
      <alignment horizontal="center" vertical="center" wrapText="1"/>
    </xf>
    <xf numFmtId="0" fontId="1" fillId="9" borderId="92" xfId="0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horizontal="center" vertical="center"/>
    </xf>
    <xf numFmtId="0" fontId="1" fillId="9" borderId="77" xfId="0" applyFont="1" applyFill="1" applyBorder="1" applyAlignment="1">
      <alignment horizontal="center" vertical="center"/>
    </xf>
    <xf numFmtId="0" fontId="1" fillId="0" borderId="234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4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center" vertical="center"/>
    </xf>
    <xf numFmtId="0" fontId="1" fillId="5" borderId="156" xfId="0" applyFont="1" applyFill="1" applyBorder="1" applyAlignment="1">
      <alignment horizontal="center" vertical="center"/>
    </xf>
    <xf numFmtId="42" fontId="1" fillId="7" borderId="31" xfId="0" applyNumberFormat="1" applyFont="1" applyFill="1" applyBorder="1" applyAlignment="1">
      <alignment vertical="center"/>
    </xf>
    <xf numFmtId="0" fontId="1" fillId="8" borderId="228" xfId="0" applyFont="1" applyFill="1" applyBorder="1" applyAlignment="1">
      <alignment horizontal="center" vertical="center"/>
    </xf>
    <xf numFmtId="0" fontId="1" fillId="7" borderId="228" xfId="0" applyFont="1" applyFill="1" applyBorder="1" applyAlignment="1">
      <alignment horizontal="center" vertical="center"/>
    </xf>
    <xf numFmtId="0" fontId="1" fillId="0" borderId="228" xfId="0" applyFont="1" applyBorder="1" applyAlignment="1">
      <alignment horizontal="center" vertical="center"/>
    </xf>
    <xf numFmtId="0" fontId="1" fillId="5" borderId="228" xfId="0" applyFont="1" applyFill="1" applyBorder="1" applyAlignment="1">
      <alignment horizontal="center" vertical="center"/>
    </xf>
    <xf numFmtId="0" fontId="1" fillId="2" borderId="228" xfId="0" applyFont="1" applyFill="1" applyBorder="1" applyAlignment="1">
      <alignment horizontal="center" vertical="center"/>
    </xf>
    <xf numFmtId="0" fontId="1" fillId="5" borderId="217" xfId="0" applyFont="1" applyFill="1" applyBorder="1" applyAlignment="1">
      <alignment horizontal="center" vertical="center"/>
    </xf>
    <xf numFmtId="167" fontId="1" fillId="0" borderId="158" xfId="4" applyNumberFormat="1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15" borderId="22" xfId="0" applyFont="1" applyFill="1" applyBorder="1" applyAlignment="1">
      <alignment horizontal="left" vertical="center"/>
    </xf>
    <xf numFmtId="0" fontId="1" fillId="7" borderId="49" xfId="0" applyFont="1" applyFill="1" applyBorder="1" applyAlignment="1">
      <alignment horizontal="left" vertical="center"/>
    </xf>
    <xf numFmtId="42" fontId="1" fillId="7" borderId="98" xfId="0" applyNumberFormat="1" applyFont="1" applyFill="1" applyBorder="1" applyAlignment="1">
      <alignment horizontal="center" vertical="center"/>
    </xf>
    <xf numFmtId="0" fontId="1" fillId="37" borderId="42" xfId="0" applyFont="1" applyFill="1" applyBorder="1" applyAlignment="1">
      <alignment horizontal="center" vertical="center"/>
    </xf>
    <xf numFmtId="42" fontId="1" fillId="15" borderId="44" xfId="0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18" borderId="56" xfId="0" applyFont="1" applyFill="1" applyBorder="1" applyAlignment="1">
      <alignment horizontal="center" vertical="center"/>
    </xf>
    <xf numFmtId="0" fontId="1" fillId="18" borderId="13" xfId="0" applyFont="1" applyFill="1" applyBorder="1" applyAlignment="1">
      <alignment horizontal="center" vertical="center"/>
    </xf>
    <xf numFmtId="0" fontId="1" fillId="18" borderId="91" xfId="0" applyFont="1" applyFill="1" applyBorder="1" applyAlignment="1">
      <alignment horizontal="center" vertical="center"/>
    </xf>
    <xf numFmtId="42" fontId="1" fillId="0" borderId="25" xfId="0" applyNumberFormat="1" applyFont="1" applyBorder="1" applyAlignment="1">
      <alignment vertical="center"/>
    </xf>
    <xf numFmtId="42" fontId="1" fillId="0" borderId="67" xfId="0" applyNumberFormat="1" applyFont="1" applyBorder="1" applyAlignment="1">
      <alignment vertical="center"/>
    </xf>
    <xf numFmtId="0" fontId="1" fillId="5" borderId="59" xfId="0" applyFont="1" applyFill="1" applyBorder="1" applyAlignment="1">
      <alignment horizontal="center" vertical="center"/>
    </xf>
    <xf numFmtId="0" fontId="1" fillId="0" borderId="228" xfId="0" applyFont="1" applyBorder="1" applyAlignment="1">
      <alignment horizontal="center" vertical="center" wrapText="1"/>
    </xf>
    <xf numFmtId="0" fontId="1" fillId="18" borderId="228" xfId="0" applyFont="1" applyFill="1" applyBorder="1" applyAlignment="1">
      <alignment horizontal="center" vertical="center"/>
    </xf>
    <xf numFmtId="0" fontId="1" fillId="18" borderId="217" xfId="0" applyFont="1" applyFill="1" applyBorder="1" applyAlignment="1">
      <alignment horizontal="center" vertical="center"/>
    </xf>
    <xf numFmtId="0" fontId="1" fillId="8" borderId="217" xfId="0" applyFont="1" applyFill="1" applyBorder="1" applyAlignment="1">
      <alignment horizontal="center" vertical="center"/>
    </xf>
    <xf numFmtId="0" fontId="22" fillId="15" borderId="235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22" fillId="15" borderId="228" xfId="0" applyFont="1" applyFill="1" applyBorder="1" applyAlignment="1">
      <alignment horizontal="center" vertical="center"/>
    </xf>
    <xf numFmtId="0" fontId="1" fillId="15" borderId="228" xfId="0" applyFont="1" applyFill="1" applyBorder="1" applyAlignment="1">
      <alignment horizontal="center" vertical="center"/>
    </xf>
    <xf numFmtId="0" fontId="1" fillId="0" borderId="217" xfId="0" applyFont="1" applyBorder="1" applyAlignment="1">
      <alignment horizontal="center" vertical="center"/>
    </xf>
    <xf numFmtId="0" fontId="1" fillId="26" borderId="13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/>
    </xf>
    <xf numFmtId="0" fontId="1" fillId="29" borderId="22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1" fillId="7" borderId="49" xfId="0" applyFont="1" applyFill="1" applyBorder="1" applyAlignment="1">
      <alignment horizontal="center" vertical="center"/>
    </xf>
    <xf numFmtId="42" fontId="1" fillId="0" borderId="25" xfId="0" applyNumberFormat="1" applyFont="1" applyBorder="1"/>
    <xf numFmtId="42" fontId="1" fillId="7" borderId="25" xfId="0" applyNumberFormat="1" applyFont="1" applyFill="1" applyBorder="1"/>
    <xf numFmtId="42" fontId="1" fillId="7" borderId="120" xfId="0" applyNumberFormat="1" applyFont="1" applyFill="1" applyBorder="1"/>
    <xf numFmtId="0" fontId="1" fillId="26" borderId="228" xfId="0" applyFont="1" applyFill="1" applyBorder="1" applyAlignment="1">
      <alignment horizontal="center" vertical="center"/>
    </xf>
    <xf numFmtId="0" fontId="1" fillId="9" borderId="228" xfId="0" applyFont="1" applyFill="1" applyBorder="1" applyAlignment="1">
      <alignment horizontal="center" vertical="center"/>
    </xf>
    <xf numFmtId="0" fontId="1" fillId="37" borderId="228" xfId="0" applyFont="1" applyFill="1" applyBorder="1" applyAlignment="1">
      <alignment horizontal="center" vertical="center"/>
    </xf>
    <xf numFmtId="0" fontId="1" fillId="7" borderId="217" xfId="0" applyFont="1" applyFill="1" applyBorder="1" applyAlignment="1">
      <alignment horizontal="center" vertical="center"/>
    </xf>
    <xf numFmtId="0" fontId="1" fillId="8" borderId="36" xfId="0" applyFont="1" applyFill="1" applyBorder="1" applyAlignment="1">
      <alignment horizontal="center" vertical="center"/>
    </xf>
    <xf numFmtId="0" fontId="1" fillId="0" borderId="217" xfId="0" applyFont="1" applyBorder="1" applyAlignment="1">
      <alignment horizontal="center" vertical="center" wrapText="1"/>
    </xf>
    <xf numFmtId="0" fontId="22" fillId="26" borderId="228" xfId="0" applyFont="1" applyFill="1" applyBorder="1" applyAlignment="1">
      <alignment horizontal="center" vertical="center"/>
    </xf>
    <xf numFmtId="0" fontId="1" fillId="0" borderId="149" xfId="0" applyFont="1" applyBorder="1" applyAlignment="1">
      <alignment horizontal="center" vertical="center"/>
    </xf>
    <xf numFmtId="0" fontId="1" fillId="26" borderId="36" xfId="0" applyFont="1" applyFill="1" applyBorder="1" applyAlignment="1">
      <alignment horizontal="center" vertical="center"/>
    </xf>
    <xf numFmtId="0" fontId="1" fillId="7" borderId="149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13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22" fillId="0" borderId="235" xfId="0" applyFont="1" applyBorder="1" applyAlignment="1">
      <alignment horizontal="center" vertical="center"/>
    </xf>
    <xf numFmtId="0" fontId="1" fillId="26" borderId="91" xfId="0" applyFont="1" applyFill="1" applyBorder="1" applyAlignment="1">
      <alignment horizontal="center" vertical="center"/>
    </xf>
    <xf numFmtId="0" fontId="22" fillId="0" borderId="228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9" borderId="235" xfId="0" applyFont="1" applyFill="1" applyBorder="1" applyAlignment="1">
      <alignment horizontal="center" vertical="center"/>
    </xf>
    <xf numFmtId="0" fontId="1" fillId="5" borderId="236" xfId="0" applyFont="1" applyFill="1" applyBorder="1" applyAlignment="1">
      <alignment horizontal="center" vertical="center"/>
    </xf>
    <xf numFmtId="0" fontId="1" fillId="9" borderId="36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7" borderId="120" xfId="0" applyFont="1" applyFill="1" applyBorder="1" applyAlignment="1">
      <alignment horizontal="center" vertical="center" wrapText="1"/>
    </xf>
    <xf numFmtId="0" fontId="5" fillId="0" borderId="22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236" xfId="0" applyFont="1" applyBorder="1" applyAlignment="1">
      <alignment horizontal="center" vertical="center"/>
    </xf>
    <xf numFmtId="0" fontId="1" fillId="8" borderId="22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236" xfId="0" applyFont="1" applyFill="1" applyBorder="1" applyAlignment="1">
      <alignment horizontal="center" vertical="center"/>
    </xf>
    <xf numFmtId="0" fontId="1" fillId="0" borderId="25" xfId="0" applyFont="1" applyBorder="1"/>
    <xf numFmtId="0" fontId="1" fillId="0" borderId="120" xfId="0" applyFont="1" applyBorder="1"/>
    <xf numFmtId="0" fontId="1" fillId="7" borderId="120" xfId="0" applyFont="1" applyFill="1" applyBorder="1"/>
    <xf numFmtId="0" fontId="1" fillId="5" borderId="97" xfId="0" applyFont="1" applyFill="1" applyBorder="1" applyAlignment="1">
      <alignment horizontal="center" vertical="center"/>
    </xf>
    <xf numFmtId="0" fontId="1" fillId="8" borderId="99" xfId="0" applyFont="1" applyFill="1" applyBorder="1" applyAlignment="1">
      <alignment horizontal="center" vertical="center"/>
    </xf>
    <xf numFmtId="0" fontId="1" fillId="8" borderId="212" xfId="0" applyFont="1" applyFill="1" applyBorder="1" applyAlignment="1">
      <alignment horizontal="center" vertical="center"/>
    </xf>
    <xf numFmtId="0" fontId="1" fillId="0" borderId="212" xfId="0" applyFont="1" applyBorder="1" applyAlignment="1">
      <alignment horizontal="center" vertical="center"/>
    </xf>
    <xf numFmtId="0" fontId="1" fillId="8" borderId="216" xfId="0" applyFont="1" applyFill="1" applyBorder="1" applyAlignment="1">
      <alignment horizontal="center" vertical="center"/>
    </xf>
    <xf numFmtId="0" fontId="1" fillId="10" borderId="228" xfId="0" applyFont="1" applyFill="1" applyBorder="1" applyAlignment="1">
      <alignment horizontal="center" vertical="center"/>
    </xf>
    <xf numFmtId="0" fontId="1" fillId="8" borderId="218" xfId="0" applyFont="1" applyFill="1" applyBorder="1" applyAlignment="1">
      <alignment horizontal="center" vertical="center"/>
    </xf>
    <xf numFmtId="0" fontId="1" fillId="0" borderId="218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172" xfId="0" applyFont="1" applyBorder="1" applyAlignment="1">
      <alignment horizontal="center" vertical="center" wrapText="1"/>
    </xf>
    <xf numFmtId="0" fontId="5" fillId="0" borderId="80" xfId="0" applyFont="1" applyBorder="1" applyAlignment="1">
      <alignment horizontal="center" vertical="center"/>
    </xf>
    <xf numFmtId="165" fontId="5" fillId="0" borderId="50" xfId="0" applyNumberFormat="1" applyFont="1" applyBorder="1" applyAlignment="1">
      <alignment horizontal="center" vertical="center"/>
    </xf>
    <xf numFmtId="0" fontId="1" fillId="5" borderId="218" xfId="0" applyFont="1" applyFill="1" applyBorder="1" applyAlignment="1">
      <alignment horizontal="center" vertical="center"/>
    </xf>
    <xf numFmtId="165" fontId="1" fillId="18" borderId="39" xfId="0" applyNumberFormat="1" applyFont="1" applyFill="1" applyBorder="1" applyAlignment="1">
      <alignment horizontal="center" vertical="center"/>
    </xf>
    <xf numFmtId="165" fontId="1" fillId="20" borderId="41" xfId="0" applyNumberFormat="1" applyFont="1" applyFill="1" applyBorder="1" applyAlignment="1">
      <alignment horizontal="center" vertical="center"/>
    </xf>
    <xf numFmtId="0" fontId="0" fillId="18" borderId="26" xfId="0" applyFill="1" applyBorder="1"/>
    <xf numFmtId="9" fontId="1" fillId="5" borderId="12" xfId="0" applyNumberFormat="1" applyFont="1" applyFill="1" applyBorder="1" applyAlignment="1">
      <alignment horizontal="center" vertical="center"/>
    </xf>
    <xf numFmtId="0" fontId="3" fillId="0" borderId="228" xfId="0" applyFont="1" applyBorder="1"/>
    <xf numFmtId="0" fontId="1" fillId="5" borderId="91" xfId="0" applyFont="1" applyFill="1" applyBorder="1" applyAlignment="1">
      <alignment horizontal="center" vertical="center"/>
    </xf>
    <xf numFmtId="0" fontId="1" fillId="0" borderId="15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8" borderId="49" xfId="0" applyFont="1" applyFill="1" applyBorder="1" applyAlignment="1">
      <alignment horizontal="center" vertical="center"/>
    </xf>
    <xf numFmtId="0" fontId="1" fillId="10" borderId="49" xfId="0" applyFont="1" applyFill="1" applyBorder="1" applyAlignment="1">
      <alignment horizontal="center" vertical="center"/>
    </xf>
    <xf numFmtId="0" fontId="1" fillId="10" borderId="217" xfId="0" applyFont="1" applyFill="1" applyBorder="1" applyAlignment="1">
      <alignment horizontal="center" vertical="center"/>
    </xf>
    <xf numFmtId="0" fontId="1" fillId="8" borderId="238" xfId="0" applyFont="1" applyFill="1" applyBorder="1" applyAlignment="1">
      <alignment horizontal="center" vertical="center"/>
    </xf>
    <xf numFmtId="0" fontId="5" fillId="20" borderId="139" xfId="0" applyFont="1" applyFill="1" applyBorder="1" applyAlignment="1">
      <alignment horizontal="left" vertical="center"/>
    </xf>
    <xf numFmtId="0" fontId="5" fillId="20" borderId="139" xfId="0" applyFont="1" applyFill="1" applyBorder="1" applyAlignment="1">
      <alignment vertical="center"/>
    </xf>
    <xf numFmtId="167" fontId="5" fillId="20" borderId="31" xfId="4" applyNumberFormat="1" applyFont="1" applyFill="1" applyBorder="1" applyAlignment="1">
      <alignment horizontal="center" vertical="center"/>
    </xf>
    <xf numFmtId="0" fontId="1" fillId="0" borderId="216" xfId="0" applyFont="1" applyBorder="1" applyAlignment="1">
      <alignment horizontal="center" vertical="center"/>
    </xf>
    <xf numFmtId="0" fontId="1" fillId="7" borderId="33" xfId="0" applyFont="1" applyFill="1" applyBorder="1" applyAlignment="1">
      <alignment horizontal="center" vertical="center"/>
    </xf>
    <xf numFmtId="0" fontId="1" fillId="25" borderId="22" xfId="0" applyFont="1" applyFill="1" applyBorder="1" applyAlignment="1">
      <alignment horizontal="center" vertical="center"/>
    </xf>
    <xf numFmtId="0" fontId="1" fillId="0" borderId="228" xfId="0" applyFont="1" applyBorder="1" applyAlignment="1">
      <alignment horizontal="right" vertical="center"/>
    </xf>
    <xf numFmtId="0" fontId="0" fillId="0" borderId="149" xfId="0" applyBorder="1"/>
    <xf numFmtId="0" fontId="0" fillId="8" borderId="149" xfId="0" applyFill="1" applyBorder="1"/>
    <xf numFmtId="0" fontId="5" fillId="8" borderId="149" xfId="0" applyFont="1" applyFill="1" applyBorder="1" applyAlignment="1">
      <alignment vertical="center" wrapText="1"/>
    </xf>
    <xf numFmtId="0" fontId="5" fillId="8" borderId="150" xfId="0" applyFont="1" applyFill="1" applyBorder="1" applyAlignment="1">
      <alignment vertical="center" wrapText="1"/>
    </xf>
    <xf numFmtId="0" fontId="0" fillId="8" borderId="228" xfId="0" applyFill="1" applyBorder="1"/>
    <xf numFmtId="0" fontId="0" fillId="0" borderId="228" xfId="0" applyBorder="1"/>
    <xf numFmtId="0" fontId="5" fillId="8" borderId="228" xfId="0" applyFont="1" applyFill="1" applyBorder="1" applyAlignment="1">
      <alignment vertical="center" wrapText="1"/>
    </xf>
    <xf numFmtId="0" fontId="5" fillId="8" borderId="217" xfId="0" applyFont="1" applyFill="1" applyBorder="1" applyAlignment="1">
      <alignment vertical="center" wrapText="1"/>
    </xf>
    <xf numFmtId="0" fontId="0" fillId="8" borderId="124" xfId="0" applyFill="1" applyBorder="1"/>
    <xf numFmtId="0" fontId="5" fillId="7" borderId="150" xfId="0" applyFont="1" applyFill="1" applyBorder="1" applyAlignment="1">
      <alignment vertical="center" wrapText="1"/>
    </xf>
    <xf numFmtId="0" fontId="0" fillId="8" borderId="216" xfId="0" applyFill="1" applyBorder="1"/>
    <xf numFmtId="0" fontId="5" fillId="7" borderId="217" xfId="0" applyFont="1" applyFill="1" applyBorder="1" applyAlignment="1">
      <alignment vertical="center" wrapText="1"/>
    </xf>
    <xf numFmtId="0" fontId="1" fillId="7" borderId="36" xfId="0" applyFont="1" applyFill="1" applyBorder="1" applyAlignment="1">
      <alignment horizontal="center" vertical="center"/>
    </xf>
    <xf numFmtId="0" fontId="1" fillId="8" borderId="235" xfId="0" applyFont="1" applyFill="1" applyBorder="1" applyAlignment="1">
      <alignment horizontal="center" vertical="center" wrapText="1"/>
    </xf>
    <xf numFmtId="0" fontId="1" fillId="20" borderId="235" xfId="0" applyFont="1" applyFill="1" applyBorder="1" applyAlignment="1">
      <alignment horizontal="center" vertical="center" wrapText="1"/>
    </xf>
    <xf numFmtId="0" fontId="1" fillId="8" borderId="228" xfId="0" applyFont="1" applyFill="1" applyBorder="1" applyAlignment="1">
      <alignment horizontal="center" vertical="center" wrapText="1"/>
    </xf>
    <xf numFmtId="0" fontId="1" fillId="20" borderId="228" xfId="0" applyFont="1" applyFill="1" applyBorder="1" applyAlignment="1">
      <alignment horizontal="center" vertical="center" wrapText="1"/>
    </xf>
    <xf numFmtId="0" fontId="1" fillId="18" borderId="49" xfId="0" applyFont="1" applyFill="1" applyBorder="1" applyAlignment="1">
      <alignment horizontal="center" vertical="center"/>
    </xf>
    <xf numFmtId="0" fontId="1" fillId="9" borderId="218" xfId="0" applyFont="1" applyFill="1" applyBorder="1" applyAlignment="1">
      <alignment horizontal="center" vertical="center"/>
    </xf>
    <xf numFmtId="0" fontId="5" fillId="0" borderId="120" xfId="0" applyFont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73" fillId="7" borderId="218" xfId="0" applyFont="1" applyFill="1" applyBorder="1" applyAlignment="1">
      <alignment vertical="center" wrapText="1"/>
    </xf>
    <xf numFmtId="0" fontId="5" fillId="16" borderId="162" xfId="0" applyFont="1" applyFill="1" applyBorder="1" applyAlignment="1">
      <alignment horizontal="center" vertical="center"/>
    </xf>
    <xf numFmtId="0" fontId="5" fillId="9" borderId="162" xfId="0" applyFont="1" applyFill="1" applyBorder="1" applyAlignment="1">
      <alignment horizontal="center" vertical="center"/>
    </xf>
    <xf numFmtId="1" fontId="5" fillId="8" borderId="162" xfId="0" applyNumberFormat="1" applyFont="1" applyFill="1" applyBorder="1" applyAlignment="1">
      <alignment horizontal="center" vertical="center"/>
    </xf>
    <xf numFmtId="1" fontId="5" fillId="10" borderId="162" xfId="0" applyNumberFormat="1" applyFont="1" applyFill="1" applyBorder="1" applyAlignment="1">
      <alignment horizontal="center" vertical="center"/>
    </xf>
    <xf numFmtId="0" fontId="1" fillId="10" borderId="64" xfId="0" applyFont="1" applyFill="1" applyBorder="1" applyAlignment="1">
      <alignment horizontal="center" vertical="center"/>
    </xf>
    <xf numFmtId="0" fontId="1" fillId="16" borderId="209" xfId="0" applyFont="1" applyFill="1" applyBorder="1" applyAlignment="1">
      <alignment horizontal="center" vertical="center"/>
    </xf>
    <xf numFmtId="0" fontId="1" fillId="16" borderId="64" xfId="0" applyFont="1" applyFill="1" applyBorder="1" applyAlignment="1">
      <alignment horizontal="center" vertical="center"/>
    </xf>
    <xf numFmtId="0" fontId="1" fillId="10" borderId="209" xfId="0" applyFont="1" applyFill="1" applyBorder="1" applyAlignment="1">
      <alignment horizontal="center" vertical="center"/>
    </xf>
    <xf numFmtId="0" fontId="1" fillId="16" borderId="61" xfId="0" applyFont="1" applyFill="1" applyBorder="1" applyAlignment="1">
      <alignment horizontal="center" vertical="center"/>
    </xf>
    <xf numFmtId="42" fontId="5" fillId="0" borderId="228" xfId="0" applyNumberFormat="1" applyFont="1" applyBorder="1" applyAlignment="1">
      <alignment horizontal="center" vertical="center"/>
    </xf>
    <xf numFmtId="42" fontId="5" fillId="5" borderId="228" xfId="0" applyNumberFormat="1" applyFont="1" applyFill="1" applyBorder="1" applyAlignment="1">
      <alignment horizontal="center" vertical="center"/>
    </xf>
    <xf numFmtId="42" fontId="5" fillId="10" borderId="228" xfId="0" applyNumberFormat="1" applyFont="1" applyFill="1" applyBorder="1" applyAlignment="1">
      <alignment horizontal="center" vertical="center"/>
    </xf>
    <xf numFmtId="42" fontId="5" fillId="0" borderId="217" xfId="0" applyNumberFormat="1" applyFont="1" applyBorder="1" applyAlignment="1">
      <alignment horizontal="center" vertical="center"/>
    </xf>
    <xf numFmtId="42" fontId="5" fillId="7" borderId="133" xfId="0" applyNumberFormat="1" applyFont="1" applyFill="1" applyBorder="1" applyAlignment="1">
      <alignment horizontal="center" vertical="center"/>
    </xf>
    <xf numFmtId="0" fontId="5" fillId="7" borderId="110" xfId="0" applyFont="1" applyFill="1" applyBorder="1" applyAlignment="1">
      <alignment horizontal="left" vertical="center"/>
    </xf>
    <xf numFmtId="0" fontId="1" fillId="8" borderId="166" xfId="0" applyFont="1" applyFill="1" applyBorder="1" applyAlignment="1">
      <alignment horizontal="left" vertical="center"/>
    </xf>
    <xf numFmtId="0" fontId="1" fillId="0" borderId="144" xfId="0" applyFont="1" applyBorder="1" applyAlignment="1">
      <alignment horizontal="left" vertical="center"/>
    </xf>
    <xf numFmtId="0" fontId="1" fillId="8" borderId="101" xfId="0" applyFont="1" applyFill="1" applyBorder="1" applyAlignment="1">
      <alignment horizontal="left" vertical="center"/>
    </xf>
    <xf numFmtId="0" fontId="1" fillId="5" borderId="95" xfId="0" applyFont="1" applyFill="1" applyBorder="1" applyAlignment="1">
      <alignment horizontal="center" vertical="center"/>
    </xf>
    <xf numFmtId="0" fontId="1" fillId="5" borderId="151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10" borderId="158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0" fillId="10" borderId="195" xfId="0" applyFill="1" applyBorder="1"/>
    <xf numFmtId="0" fontId="1" fillId="10" borderId="225" xfId="0" applyFont="1" applyFill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1" fillId="0" borderId="82" xfId="0" applyFont="1" applyBorder="1" applyAlignment="1">
      <alignment horizontal="left" vertical="center"/>
    </xf>
    <xf numFmtId="0" fontId="1" fillId="0" borderId="156" xfId="0" applyFont="1" applyBorder="1" applyAlignment="1">
      <alignment vertical="center"/>
    </xf>
    <xf numFmtId="42" fontId="1" fillId="0" borderId="30" xfId="0" applyNumberFormat="1" applyFont="1" applyBorder="1" applyAlignment="1">
      <alignment vertical="center"/>
    </xf>
    <xf numFmtId="42" fontId="1" fillId="0" borderId="35" xfId="0" applyNumberFormat="1" applyFont="1" applyBorder="1" applyAlignment="1">
      <alignment vertical="center"/>
    </xf>
    <xf numFmtId="0" fontId="5" fillId="10" borderId="81" xfId="0" applyFont="1" applyFill="1" applyBorder="1" applyAlignment="1">
      <alignment horizontal="center" vertical="center"/>
    </xf>
    <xf numFmtId="0" fontId="5" fillId="5" borderId="78" xfId="0" applyFont="1" applyFill="1" applyBorder="1" applyAlignment="1">
      <alignment horizontal="center" vertical="center"/>
    </xf>
    <xf numFmtId="0" fontId="5" fillId="10" borderId="40" xfId="0" applyFont="1" applyFill="1" applyBorder="1" applyAlignment="1">
      <alignment horizontal="center" vertical="center"/>
    </xf>
    <xf numFmtId="0" fontId="5" fillId="9" borderId="40" xfId="0" quotePrefix="1" applyFont="1" applyFill="1" applyBorder="1" applyAlignment="1">
      <alignment horizontal="center" vertical="center"/>
    </xf>
    <xf numFmtId="0" fontId="5" fillId="8" borderId="66" xfId="0" applyFont="1" applyFill="1" applyBorder="1" applyAlignment="1">
      <alignment horizontal="center" vertical="center"/>
    </xf>
    <xf numFmtId="0" fontId="5" fillId="15" borderId="71" xfId="0" applyFont="1" applyFill="1" applyBorder="1" applyAlignment="1">
      <alignment horizontal="center" vertical="center"/>
    </xf>
    <xf numFmtId="0" fontId="5" fillId="15" borderId="14" xfId="0" applyFont="1" applyFill="1" applyBorder="1" applyAlignment="1">
      <alignment horizontal="center" vertical="center"/>
    </xf>
    <xf numFmtId="0" fontId="5" fillId="15" borderId="10" xfId="0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0" fontId="5" fillId="15" borderId="172" xfId="0" applyFont="1" applyFill="1" applyBorder="1" applyAlignment="1">
      <alignment horizontal="center" vertical="center"/>
    </xf>
    <xf numFmtId="0" fontId="5" fillId="15" borderId="226" xfId="0" applyFont="1" applyFill="1" applyBorder="1" applyAlignment="1">
      <alignment horizontal="center" vertical="center"/>
    </xf>
    <xf numFmtId="0" fontId="5" fillId="37" borderId="162" xfId="0" applyFont="1" applyFill="1" applyBorder="1" applyAlignment="1">
      <alignment horizontal="center" vertical="center"/>
    </xf>
    <xf numFmtId="0" fontId="1" fillId="15" borderId="21" xfId="0" applyFont="1" applyFill="1" applyBorder="1" applyAlignment="1">
      <alignment vertical="center"/>
    </xf>
    <xf numFmtId="0" fontId="1" fillId="37" borderId="38" xfId="0" applyFont="1" applyFill="1" applyBorder="1" applyAlignment="1">
      <alignment horizontal="center" vertical="center"/>
    </xf>
    <xf numFmtId="0" fontId="1" fillId="37" borderId="13" xfId="0" applyFont="1" applyFill="1" applyBorder="1" applyAlignment="1">
      <alignment horizontal="center" vertical="center"/>
    </xf>
    <xf numFmtId="165" fontId="1" fillId="15" borderId="44" xfId="0" applyNumberFormat="1" applyFont="1" applyFill="1" applyBorder="1" applyAlignment="1">
      <alignment horizontal="center" vertical="center"/>
    </xf>
    <xf numFmtId="0" fontId="1" fillId="15" borderId="13" xfId="0" applyFont="1" applyFill="1" applyBorder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40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78" xfId="0" applyFont="1" applyFill="1" applyBorder="1" applyAlignment="1">
      <alignment horizontal="center" vertical="center"/>
    </xf>
    <xf numFmtId="0" fontId="1" fillId="7" borderId="66" xfId="0" applyFont="1" applyFill="1" applyBorder="1" applyAlignment="1">
      <alignment horizontal="center" vertical="center"/>
    </xf>
    <xf numFmtId="0" fontId="5" fillId="7" borderId="121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9" fontId="1" fillId="16" borderId="217" xfId="0" applyNumberFormat="1" applyFont="1" applyFill="1" applyBorder="1" applyAlignment="1">
      <alignment horizontal="center" vertical="center"/>
    </xf>
    <xf numFmtId="0" fontId="1" fillId="37" borderId="20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vertical="center"/>
    </xf>
    <xf numFmtId="0" fontId="1" fillId="16" borderId="217" xfId="0" applyFont="1" applyFill="1" applyBorder="1" applyAlignment="1">
      <alignment horizontal="center" vertical="center"/>
    </xf>
    <xf numFmtId="0" fontId="5" fillId="9" borderId="32" xfId="0" applyFont="1" applyFill="1" applyBorder="1" applyAlignment="1">
      <alignment vertical="center"/>
    </xf>
    <xf numFmtId="0" fontId="1" fillId="0" borderId="213" xfId="0" applyFont="1" applyBorder="1" applyAlignment="1">
      <alignment vertical="center" wrapText="1"/>
    </xf>
    <xf numFmtId="0" fontId="0" fillId="0" borderId="218" xfId="0" applyBorder="1"/>
    <xf numFmtId="0" fontId="5" fillId="10" borderId="240" xfId="0" applyFont="1" applyFill="1" applyBorder="1" applyAlignment="1">
      <alignment horizontal="center" vertical="center"/>
    </xf>
    <xf numFmtId="0" fontId="5" fillId="0" borderId="240" xfId="0" applyFont="1" applyBorder="1" applyAlignment="1">
      <alignment horizontal="center" vertical="center"/>
    </xf>
    <xf numFmtId="0" fontId="5" fillId="16" borderId="240" xfId="0" applyFont="1" applyFill="1" applyBorder="1" applyAlignment="1">
      <alignment horizontal="center" vertical="center"/>
    </xf>
    <xf numFmtId="0" fontId="5" fillId="16" borderId="162" xfId="0" quotePrefix="1" applyFont="1" applyFill="1" applyBorder="1" applyAlignment="1">
      <alignment horizontal="center" vertical="center"/>
    </xf>
    <xf numFmtId="0" fontId="1" fillId="5" borderId="90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5" fillId="16" borderId="57" xfId="0" applyFont="1" applyFill="1" applyBorder="1" applyAlignment="1">
      <alignment horizontal="center" vertical="center"/>
    </xf>
    <xf numFmtId="0" fontId="5" fillId="10" borderId="141" xfId="0" applyFont="1" applyFill="1" applyBorder="1" applyAlignment="1">
      <alignment horizontal="center" vertical="center"/>
    </xf>
    <xf numFmtId="1" fontId="5" fillId="10" borderId="240" xfId="0" applyNumberFormat="1" applyFont="1" applyFill="1" applyBorder="1" applyAlignment="1">
      <alignment horizontal="center" vertical="center"/>
    </xf>
    <xf numFmtId="1" fontId="5" fillId="16" borderId="162" xfId="0" applyNumberFormat="1" applyFont="1" applyFill="1" applyBorder="1" applyAlignment="1">
      <alignment horizontal="center" vertical="center"/>
    </xf>
    <xf numFmtId="1" fontId="5" fillId="10" borderId="163" xfId="0" applyNumberFormat="1" applyFont="1" applyFill="1" applyBorder="1" applyAlignment="1">
      <alignment horizontal="center" vertical="center"/>
    </xf>
    <xf numFmtId="1" fontId="5" fillId="16" borderId="240" xfId="0" applyNumberFormat="1" applyFont="1" applyFill="1" applyBorder="1" applyAlignment="1">
      <alignment horizontal="center" vertical="center"/>
    </xf>
    <xf numFmtId="1" fontId="5" fillId="10" borderId="242" xfId="0" applyNumberFormat="1" applyFont="1" applyFill="1" applyBorder="1" applyAlignment="1">
      <alignment horizontal="center" vertical="center"/>
    </xf>
    <xf numFmtId="1" fontId="5" fillId="16" borderId="243" xfId="0" applyNumberFormat="1" applyFont="1" applyFill="1" applyBorder="1" applyAlignment="1">
      <alignment horizontal="center" vertical="center"/>
    </xf>
    <xf numFmtId="1" fontId="5" fillId="10" borderId="244" xfId="0" applyNumberFormat="1" applyFont="1" applyFill="1" applyBorder="1" applyAlignment="1">
      <alignment horizontal="center" vertical="center"/>
    </xf>
    <xf numFmtId="1" fontId="5" fillId="16" borderId="244" xfId="0" applyNumberFormat="1" applyFont="1" applyFill="1" applyBorder="1" applyAlignment="1">
      <alignment horizontal="center" vertical="center"/>
    </xf>
    <xf numFmtId="1" fontId="5" fillId="10" borderId="245" xfId="0" applyNumberFormat="1" applyFont="1" applyFill="1" applyBorder="1" applyAlignment="1">
      <alignment horizontal="center" vertical="center"/>
    </xf>
    <xf numFmtId="1" fontId="5" fillId="0" borderId="244" xfId="0" applyNumberFormat="1" applyFont="1" applyBorder="1" applyAlignment="1">
      <alignment horizontal="center" vertical="center"/>
    </xf>
    <xf numFmtId="1" fontId="5" fillId="5" borderId="244" xfId="0" applyNumberFormat="1" applyFont="1" applyFill="1" applyBorder="1" applyAlignment="1">
      <alignment horizontal="center" vertical="center"/>
    </xf>
    <xf numFmtId="1" fontId="5" fillId="5" borderId="245" xfId="0" applyNumberFormat="1" applyFont="1" applyFill="1" applyBorder="1" applyAlignment="1">
      <alignment horizontal="center" vertical="center"/>
    </xf>
    <xf numFmtId="1" fontId="5" fillId="0" borderId="243" xfId="0" applyNumberFormat="1" applyFont="1" applyBorder="1" applyAlignment="1">
      <alignment horizontal="center" vertical="center"/>
    </xf>
    <xf numFmtId="1" fontId="5" fillId="0" borderId="245" xfId="0" applyNumberFormat="1" applyFont="1" applyBorder="1" applyAlignment="1">
      <alignment horizontal="center" vertical="center"/>
    </xf>
    <xf numFmtId="1" fontId="5" fillId="0" borderId="240" xfId="0" applyNumberFormat="1" applyFont="1" applyBorder="1" applyAlignment="1">
      <alignment horizontal="center" vertical="center"/>
    </xf>
    <xf numFmtId="1" fontId="5" fillId="0" borderId="162" xfId="0" applyNumberFormat="1" applyFont="1" applyBorder="1" applyAlignment="1">
      <alignment horizontal="center" vertical="center"/>
    </xf>
    <xf numFmtId="1" fontId="5" fillId="8" borderId="246" xfId="0" applyNumberFormat="1" applyFont="1" applyFill="1" applyBorder="1" applyAlignment="1">
      <alignment horizontal="center" vertical="center"/>
    </xf>
    <xf numFmtId="1" fontId="5" fillId="0" borderId="246" xfId="0" applyNumberFormat="1" applyFont="1" applyBorder="1" applyAlignment="1">
      <alignment horizontal="center" vertical="center"/>
    </xf>
    <xf numFmtId="1" fontId="5" fillId="16" borderId="245" xfId="1" applyNumberFormat="1" applyFont="1" applyFill="1" applyBorder="1" applyAlignment="1">
      <alignment horizontal="center" vertical="center"/>
    </xf>
    <xf numFmtId="1" fontId="27" fillId="10" borderId="243" xfId="1" applyNumberFormat="1" applyFont="1" applyFill="1" applyBorder="1" applyAlignment="1">
      <alignment horizontal="center"/>
    </xf>
    <xf numFmtId="1" fontId="27" fillId="0" borderId="244" xfId="1" applyNumberFormat="1" applyFont="1" applyFill="1" applyBorder="1" applyAlignment="1">
      <alignment horizontal="center"/>
    </xf>
    <xf numFmtId="1" fontId="27" fillId="8" borderId="244" xfId="1" applyNumberFormat="1" applyFont="1" applyFill="1" applyBorder="1" applyAlignment="1">
      <alignment horizontal="center"/>
    </xf>
    <xf numFmtId="1" fontId="5" fillId="10" borderId="244" xfId="1" applyNumberFormat="1" applyFont="1" applyFill="1" applyBorder="1" applyAlignment="1">
      <alignment horizontal="center" vertical="center"/>
    </xf>
    <xf numFmtId="1" fontId="27" fillId="10" borderId="244" xfId="1" applyNumberFormat="1" applyFont="1" applyFill="1" applyBorder="1" applyAlignment="1">
      <alignment horizontal="center"/>
    </xf>
    <xf numFmtId="1" fontId="5" fillId="8" borderId="243" xfId="1" applyNumberFormat="1" applyFont="1" applyFill="1" applyBorder="1" applyAlignment="1">
      <alignment horizontal="center" vertical="center"/>
    </xf>
    <xf numFmtId="1" fontId="5" fillId="0" borderId="243" xfId="1" applyNumberFormat="1" applyFont="1" applyFill="1" applyBorder="1" applyAlignment="1">
      <alignment horizontal="center" vertical="center"/>
    </xf>
    <xf numFmtId="1" fontId="5" fillId="10" borderId="243" xfId="1" applyNumberFormat="1" applyFont="1" applyFill="1" applyBorder="1" applyAlignment="1">
      <alignment horizontal="center" vertical="center"/>
    </xf>
    <xf numFmtId="1" fontId="5" fillId="8" borderId="244" xfId="1" applyNumberFormat="1" applyFont="1" applyFill="1" applyBorder="1" applyAlignment="1">
      <alignment horizontal="center" vertical="center"/>
    </xf>
    <xf numFmtId="1" fontId="27" fillId="8" borderId="243" xfId="1" applyNumberFormat="1" applyFont="1" applyFill="1" applyBorder="1" applyAlignment="1">
      <alignment horizontal="center"/>
    </xf>
    <xf numFmtId="1" fontId="5" fillId="0" borderId="242" xfId="1" applyNumberFormat="1" applyFont="1" applyFill="1" applyBorder="1" applyAlignment="1">
      <alignment horizontal="center" vertical="center"/>
    </xf>
    <xf numFmtId="1" fontId="5" fillId="0" borderId="31" xfId="1" applyNumberFormat="1" applyFont="1" applyFill="1" applyBorder="1" applyAlignment="1">
      <alignment horizontal="center" vertical="center"/>
    </xf>
    <xf numFmtId="1" fontId="5" fillId="10" borderId="201" xfId="1" applyNumberFormat="1" applyFont="1" applyFill="1" applyBorder="1" applyAlignment="1">
      <alignment horizontal="center" vertical="center"/>
    </xf>
    <xf numFmtId="1" fontId="5" fillId="10" borderId="158" xfId="1" applyNumberFormat="1" applyFont="1" applyFill="1" applyBorder="1" applyAlignment="1">
      <alignment horizontal="center" vertical="center"/>
    </xf>
    <xf numFmtId="1" fontId="5" fillId="10" borderId="141" xfId="1" applyNumberFormat="1" applyFont="1" applyFill="1" applyBorder="1" applyAlignment="1">
      <alignment horizontal="center" vertical="center"/>
    </xf>
    <xf numFmtId="1" fontId="5" fillId="10" borderId="247" xfId="1" applyNumberFormat="1" applyFont="1" applyFill="1" applyBorder="1" applyAlignment="1">
      <alignment horizontal="center" vertical="center"/>
    </xf>
    <xf numFmtId="1" fontId="5" fillId="7" borderId="247" xfId="1" applyNumberFormat="1" applyFont="1" applyFill="1" applyBorder="1" applyAlignment="1">
      <alignment horizontal="center" vertical="center"/>
    </xf>
    <xf numFmtId="1" fontId="5" fillId="8" borderId="247" xfId="1" applyNumberFormat="1" applyFont="1" applyFill="1" applyBorder="1" applyAlignment="1">
      <alignment horizontal="center" vertical="center"/>
    </xf>
    <xf numFmtId="1" fontId="5" fillId="0" borderId="247" xfId="1" applyNumberFormat="1" applyFont="1" applyBorder="1" applyAlignment="1">
      <alignment horizontal="center" vertical="center"/>
    </xf>
    <xf numFmtId="1" fontId="5" fillId="10" borderId="240" xfId="1" applyNumberFormat="1" applyFont="1" applyFill="1" applyBorder="1" applyAlignment="1">
      <alignment horizontal="center" vertical="center"/>
    </xf>
    <xf numFmtId="1" fontId="5" fillId="0" borderId="228" xfId="1" applyNumberFormat="1" applyFont="1" applyBorder="1" applyAlignment="1">
      <alignment horizontal="center" vertical="center"/>
    </xf>
    <xf numFmtId="1" fontId="5" fillId="5" borderId="195" xfId="1" applyNumberFormat="1" applyFont="1" applyFill="1" applyBorder="1" applyAlignment="1">
      <alignment horizontal="center" vertical="center"/>
    </xf>
    <xf numFmtId="1" fontId="5" fillId="39" borderId="218" xfId="1" applyNumberFormat="1" applyFont="1" applyFill="1" applyBorder="1" applyAlignment="1">
      <alignment horizontal="center" vertical="center"/>
    </xf>
    <xf numFmtId="1" fontId="5" fillId="5" borderId="240" xfId="1" applyNumberFormat="1" applyFont="1" applyFill="1" applyBorder="1" applyAlignment="1">
      <alignment horizontal="center" vertical="center"/>
    </xf>
    <xf numFmtId="1" fontId="5" fillId="39" borderId="162" xfId="1" applyNumberFormat="1" applyFont="1" applyFill="1" applyBorder="1" applyAlignment="1">
      <alignment horizontal="center" vertical="center"/>
    </xf>
    <xf numFmtId="1" fontId="5" fillId="38" borderId="163" xfId="1" applyNumberFormat="1" applyFont="1" applyFill="1" applyBorder="1" applyAlignment="1">
      <alignment horizontal="center" vertical="center"/>
    </xf>
    <xf numFmtId="1" fontId="5" fillId="16" borderId="163" xfId="1" applyNumberFormat="1" applyFont="1" applyFill="1" applyBorder="1" applyAlignment="1">
      <alignment horizontal="center" vertical="center"/>
    </xf>
    <xf numFmtId="1" fontId="5" fillId="16" borderId="246" xfId="1" applyNumberFormat="1" applyFont="1" applyFill="1" applyBorder="1" applyAlignment="1">
      <alignment horizontal="center" vertical="center"/>
    </xf>
    <xf numFmtId="1" fontId="5" fillId="5" borderId="241" xfId="1" applyNumberFormat="1" applyFont="1" applyFill="1" applyBorder="1" applyAlignment="1">
      <alignment horizontal="center" vertical="center"/>
    </xf>
    <xf numFmtId="1" fontId="5" fillId="0" borderId="240" xfId="1" applyNumberFormat="1" applyFont="1" applyBorder="1" applyAlignment="1">
      <alignment horizontal="center" vertical="center"/>
    </xf>
    <xf numFmtId="1" fontId="5" fillId="5" borderId="163" xfId="1" applyNumberFormat="1" applyFont="1" applyFill="1" applyBorder="1" applyAlignment="1">
      <alignment horizontal="center" vertical="center"/>
    </xf>
    <xf numFmtId="1" fontId="5" fillId="5" borderId="243" xfId="0" applyNumberFormat="1" applyFont="1" applyFill="1" applyBorder="1" applyAlignment="1">
      <alignment horizontal="center" vertical="center"/>
    </xf>
    <xf numFmtId="1" fontId="5" fillId="7" borderId="244" xfId="0" applyNumberFormat="1" applyFont="1" applyFill="1" applyBorder="1" applyAlignment="1">
      <alignment horizontal="center" vertical="center"/>
    </xf>
    <xf numFmtId="1" fontId="5" fillId="8" borderId="244" xfId="0" applyNumberFormat="1" applyFont="1" applyFill="1" applyBorder="1" applyAlignment="1">
      <alignment horizontal="center" vertical="center"/>
    </xf>
    <xf numFmtId="1" fontId="5" fillId="7" borderId="248" xfId="0" applyNumberFormat="1" applyFont="1" applyFill="1" applyBorder="1" applyAlignment="1">
      <alignment horizontal="center" vertical="center"/>
    </xf>
    <xf numFmtId="1" fontId="5" fillId="10" borderId="239" xfId="0" applyNumberFormat="1" applyFont="1" applyFill="1" applyBorder="1" applyAlignment="1">
      <alignment horizontal="center" vertical="center"/>
    </xf>
    <xf numFmtId="1" fontId="5" fillId="10" borderId="249" xfId="0" applyNumberFormat="1" applyFont="1" applyFill="1" applyBorder="1" applyAlignment="1">
      <alignment horizontal="center" vertical="center"/>
    </xf>
    <xf numFmtId="0" fontId="5" fillId="10" borderId="162" xfId="0" applyFont="1" applyFill="1" applyBorder="1" applyAlignment="1">
      <alignment horizontal="center" vertical="center"/>
    </xf>
    <xf numFmtId="0" fontId="5" fillId="10" borderId="246" xfId="0" applyFont="1" applyFill="1" applyBorder="1" applyAlignment="1">
      <alignment horizontal="center" vertical="center"/>
    </xf>
    <xf numFmtId="0" fontId="5" fillId="10" borderId="163" xfId="0" applyFont="1" applyFill="1" applyBorder="1" applyAlignment="1">
      <alignment horizontal="center" vertical="center"/>
    </xf>
    <xf numFmtId="0" fontId="5" fillId="0" borderId="176" xfId="0" applyFont="1" applyBorder="1" applyAlignment="1">
      <alignment horizontal="center" vertical="center"/>
    </xf>
    <xf numFmtId="0" fontId="5" fillId="10" borderId="216" xfId="0" applyFont="1" applyFill="1" applyBorder="1" applyAlignment="1">
      <alignment horizontal="center" vertical="center"/>
    </xf>
    <xf numFmtId="0" fontId="5" fillId="10" borderId="228" xfId="0" applyFont="1" applyFill="1" applyBorder="1" applyAlignment="1">
      <alignment horizontal="center" vertical="center"/>
    </xf>
    <xf numFmtId="0" fontId="5" fillId="8" borderId="228" xfId="0" applyFont="1" applyFill="1" applyBorder="1" applyAlignment="1">
      <alignment horizontal="center" vertical="center"/>
    </xf>
    <xf numFmtId="0" fontId="5" fillId="10" borderId="176" xfId="0" applyFont="1" applyFill="1" applyBorder="1" applyAlignment="1">
      <alignment horizontal="center" vertical="center"/>
    </xf>
    <xf numFmtId="0" fontId="5" fillId="7" borderId="176" xfId="0" applyFont="1" applyFill="1" applyBorder="1" applyAlignment="1">
      <alignment horizontal="center" vertical="center"/>
    </xf>
    <xf numFmtId="0" fontId="5" fillId="10" borderId="218" xfId="0" applyFont="1" applyFill="1" applyBorder="1" applyAlignment="1">
      <alignment horizontal="center" vertical="center"/>
    </xf>
    <xf numFmtId="0" fontId="5" fillId="7" borderId="21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42" fontId="1" fillId="0" borderId="58" xfId="0" applyNumberFormat="1" applyFont="1" applyBorder="1" applyAlignment="1">
      <alignment horizontal="center" vertical="center"/>
    </xf>
    <xf numFmtId="42" fontId="1" fillId="25" borderId="34" xfId="0" applyNumberFormat="1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18" xfId="0" applyFont="1" applyFill="1" applyBorder="1" applyAlignment="1">
      <alignment horizontal="center" vertical="center"/>
    </xf>
    <xf numFmtId="0" fontId="1" fillId="6" borderId="217" xfId="0" applyFont="1" applyFill="1" applyBorder="1" applyAlignment="1">
      <alignment horizontal="center" vertical="center"/>
    </xf>
    <xf numFmtId="0" fontId="1" fillId="15" borderId="217" xfId="0" applyFont="1" applyFill="1" applyBorder="1" applyAlignment="1">
      <alignment horizontal="center" vertical="center"/>
    </xf>
    <xf numFmtId="0" fontId="1" fillId="7" borderId="218" xfId="0" applyFont="1" applyFill="1" applyBorder="1" applyAlignment="1">
      <alignment horizontal="center" vertical="center"/>
    </xf>
    <xf numFmtId="0" fontId="1" fillId="15" borderId="228" xfId="0" applyFont="1" applyFill="1" applyBorder="1" applyAlignment="1">
      <alignment vertical="center"/>
    </xf>
    <xf numFmtId="0" fontId="1" fillId="68" borderId="201" xfId="0" applyFont="1" applyFill="1" applyBorder="1" applyAlignment="1">
      <alignment horizontal="center" vertical="center"/>
    </xf>
    <xf numFmtId="0" fontId="1" fillId="68" borderId="158" xfId="0" applyFont="1" applyFill="1" applyBorder="1" applyAlignment="1">
      <alignment horizontal="center" vertical="center"/>
    </xf>
    <xf numFmtId="0" fontId="1" fillId="68" borderId="141" xfId="0" applyFont="1" applyFill="1" applyBorder="1" applyAlignment="1">
      <alignment horizontal="center" vertical="center"/>
    </xf>
    <xf numFmtId="0" fontId="5" fillId="16" borderId="241" xfId="0" applyFont="1" applyFill="1" applyBorder="1" applyAlignment="1">
      <alignment horizontal="center" vertical="center"/>
    </xf>
    <xf numFmtId="0" fontId="5" fillId="10" borderId="247" xfId="0" applyFont="1" applyFill="1" applyBorder="1" applyAlignment="1">
      <alignment horizontal="center" vertical="center" wrapText="1"/>
    </xf>
    <xf numFmtId="0" fontId="5" fillId="16" borderId="247" xfId="0" applyFont="1" applyFill="1" applyBorder="1" applyAlignment="1">
      <alignment horizontal="center" vertical="center"/>
    </xf>
    <xf numFmtId="0" fontId="5" fillId="15" borderId="176" xfId="0" applyFont="1" applyFill="1" applyBorder="1" applyAlignment="1">
      <alignment horizontal="center" vertical="center"/>
    </xf>
    <xf numFmtId="0" fontId="1" fillId="10" borderId="201" xfId="0" applyFont="1" applyFill="1" applyBorder="1" applyAlignment="1">
      <alignment vertical="center"/>
    </xf>
    <xf numFmtId="0" fontId="1" fillId="10" borderId="158" xfId="0" applyFont="1" applyFill="1" applyBorder="1" applyAlignment="1">
      <alignment vertical="center"/>
    </xf>
    <xf numFmtId="0" fontId="1" fillId="10" borderId="141" xfId="0" applyFont="1" applyFill="1" applyBorder="1" applyAlignment="1">
      <alignment vertical="center"/>
    </xf>
    <xf numFmtId="0" fontId="54" fillId="48" borderId="215" xfId="0" applyFont="1" applyFill="1" applyBorder="1" applyAlignment="1">
      <alignment horizontal="center" vertical="center" wrapText="1"/>
    </xf>
    <xf numFmtId="0" fontId="54" fillId="48" borderId="212" xfId="0" applyFont="1" applyFill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75" fillId="0" borderId="0" xfId="0" applyFont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4" fillId="78" borderId="230" xfId="0" applyFont="1" applyFill="1" applyBorder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3" fillId="0" borderId="21" xfId="0" applyFont="1" applyBorder="1" applyAlignment="1">
      <alignment vertical="center"/>
    </xf>
    <xf numFmtId="0" fontId="53" fillId="0" borderId="21" xfId="0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0" borderId="0" xfId="0" applyFont="1" applyAlignment="1">
      <alignment horizontal="center" vertical="center"/>
    </xf>
    <xf numFmtId="0" fontId="14" fillId="52" borderId="230" xfId="0" applyFont="1" applyFill="1" applyBorder="1" applyAlignment="1">
      <alignment horizontal="center" vertical="center"/>
    </xf>
    <xf numFmtId="0" fontId="53" fillId="0" borderId="30" xfId="0" applyFont="1" applyBorder="1" applyAlignment="1">
      <alignment vertical="center"/>
    </xf>
    <xf numFmtId="0" fontId="14" fillId="79" borderId="230" xfId="0" applyFont="1" applyFill="1" applyBorder="1" applyAlignment="1">
      <alignment horizontal="center" vertical="center"/>
    </xf>
    <xf numFmtId="0" fontId="14" fillId="79" borderId="230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79" borderId="198" xfId="0" applyFont="1" applyFill="1" applyBorder="1" applyAlignment="1">
      <alignment horizontal="center" vertical="center" wrapText="1"/>
    </xf>
    <xf numFmtId="169" fontId="57" fillId="0" borderId="2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6" fillId="0" borderId="21" xfId="0" applyFont="1" applyBorder="1" applyAlignment="1">
      <alignment vertical="center"/>
    </xf>
    <xf numFmtId="0" fontId="76" fillId="0" borderId="30" xfId="0" applyFont="1" applyBorder="1" applyAlignment="1">
      <alignment vertical="center"/>
    </xf>
    <xf numFmtId="0" fontId="56" fillId="48" borderId="212" xfId="0" applyFont="1" applyFill="1" applyBorder="1" applyAlignment="1">
      <alignment horizontal="center" vertical="center" wrapText="1"/>
    </xf>
    <xf numFmtId="0" fontId="56" fillId="48" borderId="209" xfId="0" applyFont="1" applyFill="1" applyBorder="1" applyAlignment="1">
      <alignment horizontal="center" vertical="center" wrapText="1"/>
    </xf>
    <xf numFmtId="0" fontId="54" fillId="48" borderId="113" xfId="0" applyFont="1" applyFill="1" applyBorder="1" applyAlignment="1">
      <alignment horizontal="center" vertical="center" wrapText="1"/>
    </xf>
    <xf numFmtId="0" fontId="54" fillId="48" borderId="123" xfId="0" applyFont="1" applyFill="1" applyBorder="1" applyAlignment="1">
      <alignment horizontal="center" vertical="center" wrapText="1"/>
    </xf>
    <xf numFmtId="0" fontId="1" fillId="0" borderId="221" xfId="0" applyFont="1" applyBorder="1" applyAlignment="1">
      <alignment vertical="center"/>
    </xf>
    <xf numFmtId="0" fontId="1" fillId="5" borderId="10" xfId="0" applyFont="1" applyFill="1" applyBorder="1" applyAlignment="1">
      <alignment horizontal="left" vertical="center"/>
    </xf>
    <xf numFmtId="0" fontId="1" fillId="27" borderId="10" xfId="0" applyFont="1" applyFill="1" applyBorder="1" applyAlignment="1">
      <alignment horizontal="left" vertical="center"/>
    </xf>
    <xf numFmtId="0" fontId="5" fillId="25" borderId="10" xfId="0" applyFont="1" applyFill="1" applyBorder="1" applyAlignment="1">
      <alignment horizontal="left" vertical="center"/>
    </xf>
    <xf numFmtId="0" fontId="1" fillId="9" borderId="10" xfId="0" applyFont="1" applyFill="1" applyBorder="1" applyAlignment="1">
      <alignment horizontal="left" vertical="center"/>
    </xf>
    <xf numFmtId="0" fontId="1" fillId="12" borderId="10" xfId="0" applyFont="1" applyFill="1" applyBorder="1" applyAlignment="1">
      <alignment horizontal="left" vertical="center"/>
    </xf>
    <xf numFmtId="0" fontId="5" fillId="22" borderId="10" xfId="0" applyFont="1" applyFill="1" applyBorder="1" applyAlignment="1">
      <alignment horizontal="left" vertical="center"/>
    </xf>
    <xf numFmtId="1" fontId="5" fillId="7" borderId="169" xfId="0" applyNumberFormat="1" applyFont="1" applyFill="1" applyBorder="1" applyAlignment="1">
      <alignment horizontal="center" vertical="center"/>
    </xf>
    <xf numFmtId="0" fontId="1" fillId="15" borderId="95" xfId="0" applyFont="1" applyFill="1" applyBorder="1" applyAlignment="1">
      <alignment horizontal="center" vertical="center"/>
    </xf>
    <xf numFmtId="0" fontId="1" fillId="7" borderId="95" xfId="0" applyFont="1" applyFill="1" applyBorder="1" applyAlignment="1">
      <alignment horizontal="center" vertical="center"/>
    </xf>
    <xf numFmtId="1" fontId="5" fillId="7" borderId="116" xfId="0" applyNumberFormat="1" applyFont="1" applyFill="1" applyBorder="1" applyAlignment="1">
      <alignment horizontal="center" vertical="center"/>
    </xf>
    <xf numFmtId="0" fontId="1" fillId="27" borderId="24" xfId="0" applyFont="1" applyFill="1" applyBorder="1" applyAlignment="1">
      <alignment horizontal="left" vertical="center"/>
    </xf>
    <xf numFmtId="0" fontId="1" fillId="27" borderId="197" xfId="0" applyFont="1" applyFill="1" applyBorder="1" applyAlignment="1">
      <alignment vertical="center"/>
    </xf>
    <xf numFmtId="165" fontId="1" fillId="9" borderId="58" xfId="0" applyNumberFormat="1" applyFont="1" applyFill="1" applyBorder="1" applyAlignment="1">
      <alignment horizontal="center" vertical="center"/>
    </xf>
    <xf numFmtId="0" fontId="1" fillId="5" borderId="182" xfId="0" applyFont="1" applyFill="1" applyBorder="1" applyAlignment="1">
      <alignment horizontal="center" vertical="center"/>
    </xf>
    <xf numFmtId="0" fontId="1" fillId="5" borderId="206" xfId="0" applyFont="1" applyFill="1" applyBorder="1" applyAlignment="1">
      <alignment horizontal="center" vertical="center"/>
    </xf>
    <xf numFmtId="0" fontId="5" fillId="16" borderId="252" xfId="0" applyFont="1" applyFill="1" applyBorder="1" applyAlignment="1">
      <alignment horizontal="center" vertical="center"/>
    </xf>
    <xf numFmtId="0" fontId="1" fillId="5" borderId="76" xfId="0" applyFont="1" applyFill="1" applyBorder="1" applyAlignment="1">
      <alignment horizontal="center" vertical="center"/>
    </xf>
    <xf numFmtId="0" fontId="1" fillId="5" borderId="183" xfId="0" applyFont="1" applyFill="1" applyBorder="1" applyAlignment="1">
      <alignment horizontal="left" vertical="center"/>
    </xf>
    <xf numFmtId="0" fontId="1" fillId="5" borderId="179" xfId="0" applyFont="1" applyFill="1" applyBorder="1" applyAlignment="1">
      <alignment horizontal="left" vertical="center"/>
    </xf>
    <xf numFmtId="42" fontId="1" fillId="5" borderId="88" xfId="0" applyNumberFormat="1" applyFont="1" applyFill="1" applyBorder="1" applyAlignment="1">
      <alignment horizontal="center" vertical="center"/>
    </xf>
    <xf numFmtId="0" fontId="1" fillId="5" borderId="173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5" fillId="16" borderId="163" xfId="0" applyFont="1" applyFill="1" applyBorder="1" applyAlignment="1">
      <alignment horizontal="center" vertical="center"/>
    </xf>
    <xf numFmtId="0" fontId="1" fillId="5" borderId="101" xfId="0" applyFont="1" applyFill="1" applyBorder="1" applyAlignment="1">
      <alignment horizontal="left" vertical="center"/>
    </xf>
    <xf numFmtId="0" fontId="1" fillId="5" borderId="147" xfId="0" applyFont="1" applyFill="1" applyBorder="1" applyAlignment="1">
      <alignment horizontal="left" vertical="center"/>
    </xf>
    <xf numFmtId="0" fontId="73" fillId="10" borderId="218" xfId="0" applyFont="1" applyFill="1" applyBorder="1" applyAlignment="1">
      <alignment vertical="center" wrapText="1"/>
    </xf>
    <xf numFmtId="0" fontId="46" fillId="70" borderId="59" xfId="0" applyFont="1" applyFill="1" applyBorder="1" applyAlignment="1">
      <alignment horizontal="center" vertical="center"/>
    </xf>
    <xf numFmtId="0" fontId="46" fillId="81" borderId="59" xfId="0" applyFont="1" applyFill="1" applyBorder="1" applyAlignment="1">
      <alignment horizontal="center" vertical="center"/>
    </xf>
    <xf numFmtId="0" fontId="0" fillId="0" borderId="253" xfId="0" applyBorder="1"/>
    <xf numFmtId="42" fontId="1" fillId="7" borderId="39" xfId="0" applyNumberFormat="1" applyFont="1" applyFill="1" applyBorder="1" applyAlignment="1">
      <alignment horizontal="center" vertical="center"/>
    </xf>
    <xf numFmtId="0" fontId="1" fillId="8" borderId="183" xfId="0" applyFont="1" applyFill="1" applyBorder="1" applyAlignment="1">
      <alignment horizontal="left" vertical="center"/>
    </xf>
    <xf numFmtId="0" fontId="1" fillId="7" borderId="59" xfId="0" applyFont="1" applyFill="1" applyBorder="1" applyAlignment="1">
      <alignment horizontal="left" vertical="center"/>
    </xf>
    <xf numFmtId="0" fontId="1" fillId="7" borderId="149" xfId="0" applyFont="1" applyFill="1" applyBorder="1" applyAlignment="1">
      <alignment vertical="center"/>
    </xf>
    <xf numFmtId="0" fontId="1" fillId="15" borderId="97" xfId="0" applyFont="1" applyFill="1" applyBorder="1" applyAlignment="1">
      <alignment horizontal="left" vertical="center"/>
    </xf>
    <xf numFmtId="0" fontId="1" fillId="15" borderId="150" xfId="0" applyFont="1" applyFill="1" applyBorder="1" applyAlignment="1">
      <alignment vertical="center"/>
    </xf>
    <xf numFmtId="0" fontId="1" fillId="15" borderId="125" xfId="0" applyFont="1" applyFill="1" applyBorder="1" applyAlignment="1">
      <alignment vertical="center"/>
    </xf>
    <xf numFmtId="0" fontId="1" fillId="15" borderId="99" xfId="0" applyFont="1" applyFill="1" applyBorder="1" applyAlignment="1">
      <alignment horizontal="left" vertical="center"/>
    </xf>
    <xf numFmtId="0" fontId="1" fillId="15" borderId="107" xfId="0" applyFont="1" applyFill="1" applyBorder="1" applyAlignment="1">
      <alignment vertical="center"/>
    </xf>
    <xf numFmtId="0" fontId="1" fillId="15" borderId="84" xfId="0" applyFont="1" applyFill="1" applyBorder="1" applyAlignment="1">
      <alignment vertical="center"/>
    </xf>
    <xf numFmtId="0" fontId="1" fillId="0" borderId="76" xfId="0" applyFont="1" applyBorder="1" applyAlignment="1">
      <alignment vertical="center"/>
    </xf>
    <xf numFmtId="0" fontId="1" fillId="7" borderId="46" xfId="0" applyFont="1" applyFill="1" applyBorder="1" applyAlignment="1">
      <alignment horizontal="center" vertical="center"/>
    </xf>
    <xf numFmtId="0" fontId="5" fillId="7" borderId="47" xfId="0" applyFont="1" applyFill="1" applyBorder="1" applyAlignment="1">
      <alignment horizontal="center" vertical="center"/>
    </xf>
    <xf numFmtId="0" fontId="1" fillId="7" borderId="101" xfId="0" applyFont="1" applyFill="1" applyBorder="1" applyAlignment="1">
      <alignment horizontal="left" vertical="center"/>
    </xf>
    <xf numFmtId="0" fontId="1" fillId="7" borderId="48" xfId="0" applyFont="1" applyFill="1" applyBorder="1" applyAlignment="1">
      <alignment horizontal="left" vertical="center"/>
    </xf>
    <xf numFmtId="0" fontId="1" fillId="0" borderId="237" xfId="0" applyFont="1" applyBorder="1" applyAlignment="1">
      <alignment horizontal="center" vertical="center"/>
    </xf>
    <xf numFmtId="0" fontId="1" fillId="0" borderId="238" xfId="0" applyFont="1" applyBorder="1" applyAlignment="1">
      <alignment horizontal="center" vertical="center"/>
    </xf>
    <xf numFmtId="167" fontId="1" fillId="20" borderId="31" xfId="4" applyNumberFormat="1" applyFont="1" applyFill="1" applyBorder="1" applyAlignment="1">
      <alignment horizontal="center" vertical="center"/>
    </xf>
    <xf numFmtId="0" fontId="1" fillId="0" borderId="232" xfId="0" applyFont="1" applyBorder="1" applyAlignment="1">
      <alignment vertical="center"/>
    </xf>
    <xf numFmtId="0" fontId="5" fillId="15" borderId="230" xfId="0" applyFont="1" applyFill="1" applyBorder="1" applyAlignment="1">
      <alignment horizontal="center" vertical="center"/>
    </xf>
    <xf numFmtId="0" fontId="1" fillId="10" borderId="230" xfId="0" applyFont="1" applyFill="1" applyBorder="1" applyAlignment="1">
      <alignment vertical="center"/>
    </xf>
    <xf numFmtId="0" fontId="5" fillId="20" borderId="99" xfId="0" applyFont="1" applyFill="1" applyBorder="1" applyAlignment="1">
      <alignment vertical="center"/>
    </xf>
    <xf numFmtId="0" fontId="1" fillId="15" borderId="149" xfId="0" applyFont="1" applyFill="1" applyBorder="1" applyAlignment="1">
      <alignment horizontal="center" vertical="center"/>
    </xf>
    <xf numFmtId="0" fontId="1" fillId="15" borderId="77" xfId="0" applyFont="1" applyFill="1" applyBorder="1" applyAlignment="1">
      <alignment horizontal="center" vertical="center"/>
    </xf>
    <xf numFmtId="167" fontId="1" fillId="15" borderId="158" xfId="4" applyNumberFormat="1" applyFont="1" applyFill="1" applyBorder="1" applyAlignment="1">
      <alignment horizontal="center" vertical="center"/>
    </xf>
    <xf numFmtId="0" fontId="1" fillId="15" borderId="254" xfId="0" applyFont="1" applyFill="1" applyBorder="1" applyAlignment="1">
      <alignment horizontal="center" vertical="center"/>
    </xf>
    <xf numFmtId="0" fontId="1" fillId="68" borderId="214" xfId="0" applyFont="1" applyFill="1" applyBorder="1" applyAlignment="1">
      <alignment horizontal="center" vertical="center"/>
    </xf>
    <xf numFmtId="0" fontId="1" fillId="20" borderId="2" xfId="0" applyFont="1" applyFill="1" applyBorder="1" applyAlignment="1">
      <alignment horizontal="center" vertical="center"/>
    </xf>
    <xf numFmtId="0" fontId="1" fillId="0" borderId="68" xfId="0" applyFont="1" applyBorder="1" applyAlignment="1">
      <alignment horizontal="center" vertical="center" wrapText="1"/>
    </xf>
    <xf numFmtId="0" fontId="5" fillId="15" borderId="59" xfId="0" applyFont="1" applyFill="1" applyBorder="1" applyAlignment="1">
      <alignment vertical="center"/>
    </xf>
    <xf numFmtId="42" fontId="1" fillId="37" borderId="44" xfId="0" applyNumberFormat="1" applyFont="1" applyFill="1" applyBorder="1" applyAlignment="1">
      <alignment horizontal="center" vertical="center"/>
    </xf>
    <xf numFmtId="0" fontId="1" fillId="15" borderId="59" xfId="0" applyFont="1" applyFill="1" applyBorder="1" applyAlignment="1">
      <alignment vertical="center"/>
    </xf>
    <xf numFmtId="0" fontId="79" fillId="70" borderId="230" xfId="0" applyFont="1" applyFill="1" applyBorder="1" applyAlignment="1">
      <alignment vertical="center"/>
    </xf>
    <xf numFmtId="0" fontId="1" fillId="20" borderId="40" xfId="0" applyFont="1" applyFill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1" fillId="7" borderId="99" xfId="0" applyFont="1" applyFill="1" applyBorder="1" applyAlignment="1">
      <alignment horizontal="left" vertical="center"/>
    </xf>
    <xf numFmtId="0" fontId="1" fillId="7" borderId="99" xfId="0" applyFont="1" applyFill="1" applyBorder="1" applyAlignment="1">
      <alignment vertical="center"/>
    </xf>
    <xf numFmtId="167" fontId="1" fillId="7" borderId="65" xfId="4" applyNumberFormat="1" applyFont="1" applyFill="1" applyBorder="1" applyAlignment="1">
      <alignment horizontal="center" vertical="center"/>
    </xf>
    <xf numFmtId="0" fontId="5" fillId="7" borderId="228" xfId="0" applyFont="1" applyFill="1" applyBorder="1" applyAlignment="1">
      <alignment horizontal="center" vertical="center"/>
    </xf>
    <xf numFmtId="0" fontId="1" fillId="7" borderId="144" xfId="0" applyFont="1" applyFill="1" applyBorder="1" applyAlignment="1">
      <alignment horizontal="center" vertical="center"/>
    </xf>
    <xf numFmtId="0" fontId="5" fillId="7" borderId="59" xfId="0" applyFont="1" applyFill="1" applyBorder="1" applyAlignment="1">
      <alignment horizontal="left" vertical="center"/>
    </xf>
    <xf numFmtId="167" fontId="1" fillId="7" borderId="158" xfId="4" applyNumberFormat="1" applyFont="1" applyFill="1" applyBorder="1" applyAlignment="1">
      <alignment horizontal="center" vertical="center"/>
    </xf>
    <xf numFmtId="0" fontId="1" fillId="7" borderId="238" xfId="0" applyFont="1" applyFill="1" applyBorder="1" applyAlignment="1">
      <alignment horizontal="center" vertical="center"/>
    </xf>
    <xf numFmtId="0" fontId="5" fillId="7" borderId="238" xfId="0" applyFont="1" applyFill="1" applyBorder="1" applyAlignment="1">
      <alignment horizontal="center" vertical="center"/>
    </xf>
    <xf numFmtId="0" fontId="1" fillId="15" borderId="36" xfId="0" applyFont="1" applyFill="1" applyBorder="1" applyAlignment="1">
      <alignment horizontal="center" vertical="center"/>
    </xf>
    <xf numFmtId="0" fontId="5" fillId="15" borderId="218" xfId="0" applyFont="1" applyFill="1" applyBorder="1" applyAlignment="1">
      <alignment horizontal="center" vertical="center"/>
    </xf>
    <xf numFmtId="0" fontId="5" fillId="15" borderId="228" xfId="0" applyFont="1" applyFill="1" applyBorder="1" applyAlignment="1">
      <alignment horizontal="center" vertical="center"/>
    </xf>
    <xf numFmtId="0" fontId="5" fillId="15" borderId="148" xfId="0" applyFont="1" applyFill="1" applyBorder="1" applyAlignment="1">
      <alignment horizontal="left" vertical="center"/>
    </xf>
    <xf numFmtId="0" fontId="5" fillId="15" borderId="105" xfId="0" applyFont="1" applyFill="1" applyBorder="1" applyAlignment="1">
      <alignment vertical="center"/>
    </xf>
    <xf numFmtId="167" fontId="1" fillId="15" borderId="64" xfId="4" applyNumberFormat="1" applyFont="1" applyFill="1" applyBorder="1" applyAlignment="1">
      <alignment horizontal="center" vertical="center"/>
    </xf>
    <xf numFmtId="0" fontId="5" fillId="15" borderId="99" xfId="0" applyFont="1" applyFill="1" applyBorder="1" applyAlignment="1">
      <alignment horizontal="left" vertical="center"/>
    </xf>
    <xf numFmtId="167" fontId="5" fillId="15" borderId="37" xfId="4" applyNumberFormat="1" applyFont="1" applyFill="1" applyBorder="1" applyAlignment="1">
      <alignment horizontal="center" vertical="center"/>
    </xf>
    <xf numFmtId="0" fontId="1" fillId="15" borderId="59" xfId="0" applyFont="1" applyFill="1" applyBorder="1" applyAlignment="1">
      <alignment horizontal="left" vertical="center"/>
    </xf>
    <xf numFmtId="0" fontId="1" fillId="15" borderId="149" xfId="0" applyFont="1" applyFill="1" applyBorder="1" applyAlignment="1">
      <alignment vertical="center"/>
    </xf>
    <xf numFmtId="167" fontId="1" fillId="15" borderId="65" xfId="4" applyNumberFormat="1" applyFont="1" applyFill="1" applyBorder="1" applyAlignment="1">
      <alignment horizontal="center" vertical="center"/>
    </xf>
    <xf numFmtId="167" fontId="1" fillId="15" borderId="37" xfId="4" applyNumberFormat="1" applyFont="1" applyFill="1" applyBorder="1" applyAlignment="1">
      <alignment horizontal="center" vertical="center"/>
    </xf>
    <xf numFmtId="0" fontId="1" fillId="15" borderId="99" xfId="0" applyFont="1" applyFill="1" applyBorder="1" applyAlignment="1">
      <alignment vertical="center"/>
    </xf>
    <xf numFmtId="1" fontId="5" fillId="5" borderId="10" xfId="0" applyNumberFormat="1" applyFont="1" applyFill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1" fontId="5" fillId="5" borderId="153" xfId="0" applyNumberFormat="1" applyFont="1" applyFill="1" applyBorder="1" applyAlignment="1">
      <alignment horizontal="center" vertical="center"/>
    </xf>
    <xf numFmtId="1" fontId="5" fillId="0" borderId="15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/>
    </xf>
    <xf numFmtId="0" fontId="1" fillId="15" borderId="70" xfId="0" applyFont="1" applyFill="1" applyBorder="1" applyAlignment="1">
      <alignment horizontal="center" vertical="center"/>
    </xf>
    <xf numFmtId="1" fontId="5" fillId="15" borderId="255" xfId="0" applyNumberFormat="1" applyFont="1" applyFill="1" applyBorder="1" applyAlignment="1">
      <alignment horizontal="center" vertical="center"/>
    </xf>
    <xf numFmtId="1" fontId="5" fillId="15" borderId="183" xfId="0" applyNumberFormat="1" applyFont="1" applyFill="1" applyBorder="1" applyAlignment="1">
      <alignment horizontal="center" vertical="center"/>
    </xf>
    <xf numFmtId="0" fontId="1" fillId="75" borderId="72" xfId="0" applyFont="1" applyFill="1" applyBorder="1" applyAlignment="1">
      <alignment vertical="center"/>
    </xf>
    <xf numFmtId="165" fontId="1" fillId="15" borderId="55" xfId="1" applyNumberFormat="1" applyFont="1" applyFill="1" applyBorder="1" applyAlignment="1">
      <alignment horizontal="center" vertical="center"/>
    </xf>
    <xf numFmtId="1" fontId="5" fillId="7" borderId="256" xfId="0" applyNumberFormat="1" applyFont="1" applyFill="1" applyBorder="1" applyAlignment="1">
      <alignment horizontal="center" vertical="center"/>
    </xf>
    <xf numFmtId="1" fontId="5" fillId="7" borderId="101" xfId="0" applyNumberFormat="1" applyFont="1" applyFill="1" applyBorder="1" applyAlignment="1">
      <alignment horizontal="center" vertical="center"/>
    </xf>
    <xf numFmtId="0" fontId="1" fillId="27" borderId="80" xfId="0" applyFont="1" applyFill="1" applyBorder="1" applyAlignment="1">
      <alignment vertical="center"/>
    </xf>
    <xf numFmtId="165" fontId="1" fillId="7" borderId="50" xfId="1" applyNumberFormat="1" applyFont="1" applyFill="1" applyBorder="1" applyAlignment="1">
      <alignment horizontal="center" vertical="center"/>
    </xf>
    <xf numFmtId="0" fontId="1" fillId="7" borderId="67" xfId="0" applyFont="1" applyFill="1" applyBorder="1"/>
    <xf numFmtId="0" fontId="5" fillId="9" borderId="59" xfId="0" applyFont="1" applyFill="1" applyBorder="1" applyAlignment="1">
      <alignment vertical="center"/>
    </xf>
    <xf numFmtId="0" fontId="1" fillId="15" borderId="79" xfId="0" applyFont="1" applyFill="1" applyBorder="1" applyAlignment="1">
      <alignment vertical="center"/>
    </xf>
    <xf numFmtId="0" fontId="1" fillId="15" borderId="60" xfId="0" applyFont="1" applyFill="1" applyBorder="1" applyAlignment="1">
      <alignment vertical="center"/>
    </xf>
    <xf numFmtId="0" fontId="1" fillId="15" borderId="61" xfId="0" applyFont="1" applyFill="1" applyBorder="1" applyAlignment="1">
      <alignment vertical="center"/>
    </xf>
    <xf numFmtId="0" fontId="1" fillId="0" borderId="27" xfId="0" applyFont="1" applyBorder="1" applyAlignment="1">
      <alignment vertical="center"/>
    </xf>
    <xf numFmtId="1" fontId="5" fillId="0" borderId="28" xfId="1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15" borderId="233" xfId="0" applyFont="1" applyFill="1" applyBorder="1" applyAlignment="1">
      <alignment vertical="center"/>
    </xf>
    <xf numFmtId="0" fontId="5" fillId="15" borderId="257" xfId="0" applyFont="1" applyFill="1" applyBorder="1" applyAlignment="1">
      <alignment vertical="center"/>
    </xf>
    <xf numFmtId="0" fontId="1" fillId="15" borderId="225" xfId="0" applyFont="1" applyFill="1" applyBorder="1" applyAlignment="1">
      <alignment horizontal="center" vertical="center"/>
    </xf>
    <xf numFmtId="0" fontId="1" fillId="16" borderId="218" xfId="0" applyFont="1" applyFill="1" applyBorder="1" applyAlignment="1">
      <alignment horizontal="center" vertical="center"/>
    </xf>
    <xf numFmtId="0" fontId="1" fillId="10" borderId="218" xfId="0" applyFont="1" applyFill="1" applyBorder="1" applyAlignment="1">
      <alignment horizontal="center" vertical="center"/>
    </xf>
    <xf numFmtId="0" fontId="1" fillId="50" borderId="218" xfId="0" applyFont="1" applyFill="1" applyBorder="1" applyAlignment="1">
      <alignment horizontal="center" vertical="center"/>
    </xf>
    <xf numFmtId="0" fontId="1" fillId="10" borderId="216" xfId="0" applyFont="1" applyFill="1" applyBorder="1" applyAlignment="1">
      <alignment horizontal="center" vertical="center"/>
    </xf>
    <xf numFmtId="0" fontId="1" fillId="5" borderId="218" xfId="0" applyFont="1" applyFill="1" applyBorder="1" applyAlignment="1">
      <alignment horizontal="center" vertical="center" wrapText="1"/>
    </xf>
    <xf numFmtId="0" fontId="1" fillId="8" borderId="195" xfId="0" applyFont="1" applyFill="1" applyBorder="1" applyAlignment="1">
      <alignment horizontal="center" vertical="center"/>
    </xf>
    <xf numFmtId="0" fontId="1" fillId="25" borderId="78" xfId="0" applyFont="1" applyFill="1" applyBorder="1" applyAlignment="1">
      <alignment horizontal="center" vertical="center"/>
    </xf>
    <xf numFmtId="0" fontId="1" fillId="25" borderId="26" xfId="0" applyFont="1" applyFill="1" applyBorder="1" applyAlignment="1">
      <alignment horizontal="center" vertical="center"/>
    </xf>
    <xf numFmtId="0" fontId="5" fillId="22" borderId="12" xfId="0" applyFont="1" applyFill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1" fillId="0" borderId="145" xfId="0" applyFont="1" applyBorder="1" applyAlignment="1">
      <alignment vertical="center"/>
    </xf>
    <xf numFmtId="0" fontId="5" fillId="0" borderId="162" xfId="0" applyFont="1" applyBorder="1" applyAlignment="1">
      <alignment horizontal="center" vertical="center"/>
    </xf>
    <xf numFmtId="0" fontId="1" fillId="15" borderId="38" xfId="0" applyFont="1" applyFill="1" applyBorder="1" applyAlignment="1">
      <alignment horizontal="center" vertical="center"/>
    </xf>
    <xf numFmtId="0" fontId="1" fillId="37" borderId="195" xfId="0" applyFont="1" applyFill="1" applyBorder="1" applyAlignment="1">
      <alignment horizontal="center" vertical="center"/>
    </xf>
    <xf numFmtId="0" fontId="1" fillId="37" borderId="218" xfId="0" applyFont="1" applyFill="1" applyBorder="1" applyAlignment="1">
      <alignment horizontal="center" vertical="center"/>
    </xf>
    <xf numFmtId="1" fontId="5" fillId="15" borderId="162" xfId="0" applyNumberFormat="1" applyFont="1" applyFill="1" applyBorder="1" applyAlignment="1">
      <alignment horizontal="center" vertical="center"/>
    </xf>
    <xf numFmtId="0" fontId="5" fillId="15" borderId="162" xfId="0" applyFont="1" applyFill="1" applyBorder="1" applyAlignment="1">
      <alignment horizontal="center" vertical="center"/>
    </xf>
    <xf numFmtId="0" fontId="1" fillId="15" borderId="10" xfId="0" applyFont="1" applyFill="1" applyBorder="1" applyAlignment="1">
      <alignment horizontal="left" vertical="center"/>
    </xf>
    <xf numFmtId="0" fontId="1" fillId="15" borderId="145" xfId="0" applyFont="1" applyFill="1" applyBorder="1" applyAlignment="1">
      <alignment vertical="center"/>
    </xf>
    <xf numFmtId="0" fontId="1" fillId="37" borderId="95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left" vertical="center"/>
    </xf>
    <xf numFmtId="42" fontId="1" fillId="15" borderId="41" xfId="0" applyNumberFormat="1" applyFont="1" applyFill="1" applyBorder="1" applyAlignment="1">
      <alignment horizontal="center" vertical="center"/>
    </xf>
    <xf numFmtId="0" fontId="1" fillId="37" borderId="151" xfId="0" applyFont="1" applyFill="1" applyBorder="1" applyAlignment="1">
      <alignment horizontal="center" vertical="center"/>
    </xf>
    <xf numFmtId="0" fontId="1" fillId="75" borderId="101" xfId="0" applyFont="1" applyFill="1" applyBorder="1" applyAlignment="1">
      <alignment horizontal="left" vertical="center"/>
    </xf>
    <xf numFmtId="0" fontId="1" fillId="75" borderId="147" xfId="0" applyFont="1" applyFill="1" applyBorder="1" applyAlignment="1">
      <alignment vertical="center"/>
    </xf>
    <xf numFmtId="165" fontId="1" fillId="37" borderId="98" xfId="0" applyNumberFormat="1" applyFont="1" applyFill="1" applyBorder="1" applyAlignment="1">
      <alignment horizontal="center" vertical="center"/>
    </xf>
    <xf numFmtId="1" fontId="5" fillId="0" borderId="256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65" fontId="1" fillId="0" borderId="50" xfId="1" applyNumberFormat="1" applyFont="1" applyFill="1" applyBorder="1" applyAlignment="1">
      <alignment horizontal="center" vertical="center"/>
    </xf>
    <xf numFmtId="0" fontId="47" fillId="82" borderId="40" xfId="0" applyFont="1" applyFill="1" applyBorder="1" applyAlignment="1">
      <alignment horizontal="center" vertical="center"/>
    </xf>
    <xf numFmtId="0" fontId="1" fillId="15" borderId="88" xfId="0" applyFont="1" applyFill="1" applyBorder="1" applyAlignment="1">
      <alignment horizontal="center" vertical="center"/>
    </xf>
    <xf numFmtId="0" fontId="1" fillId="7" borderId="98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20" borderId="44" xfId="0" applyFont="1" applyFill="1" applyBorder="1" applyAlignment="1">
      <alignment horizontal="center" vertical="center"/>
    </xf>
    <xf numFmtId="0" fontId="1" fillId="15" borderId="44" xfId="0" applyFont="1" applyFill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0" borderId="238" xfId="0" applyFont="1" applyBorder="1" applyAlignment="1">
      <alignment horizontal="center" vertical="center" wrapText="1"/>
    </xf>
    <xf numFmtId="0" fontId="5" fillId="0" borderId="162" xfId="0" applyFont="1" applyBorder="1" applyAlignment="1">
      <alignment horizontal="center" vertical="center" wrapText="1"/>
    </xf>
    <xf numFmtId="1" fontId="5" fillId="5" borderId="162" xfId="0" applyNumberFormat="1" applyFont="1" applyFill="1" applyBorder="1" applyAlignment="1">
      <alignment horizontal="center" vertical="center"/>
    </xf>
    <xf numFmtId="1" fontId="5" fillId="5" borderId="163" xfId="0" applyNumberFormat="1" applyFont="1" applyFill="1" applyBorder="1" applyAlignment="1">
      <alignment horizontal="center" vertical="center"/>
    </xf>
    <xf numFmtId="1" fontId="5" fillId="8" borderId="195" xfId="0" applyNumberFormat="1" applyFont="1" applyFill="1" applyBorder="1" applyAlignment="1">
      <alignment horizontal="center" vertical="center"/>
    </xf>
    <xf numFmtId="1" fontId="5" fillId="10" borderId="195" xfId="0" applyNumberFormat="1" applyFont="1" applyFill="1" applyBorder="1" applyAlignment="1">
      <alignment horizontal="center" vertical="center"/>
    </xf>
    <xf numFmtId="1" fontId="5" fillId="8" borderId="240" xfId="0" applyNumberFormat="1" applyFont="1" applyFill="1" applyBorder="1" applyAlignment="1">
      <alignment horizontal="center" vertical="center"/>
    </xf>
    <xf numFmtId="1" fontId="5" fillId="0" borderId="176" xfId="0" applyNumberFormat="1" applyFont="1" applyBorder="1" applyAlignment="1">
      <alignment horizontal="center" vertical="center"/>
    </xf>
    <xf numFmtId="1" fontId="5" fillId="8" borderId="163" xfId="0" applyNumberFormat="1" applyFont="1" applyFill="1" applyBorder="1" applyAlignment="1">
      <alignment horizontal="center" vertical="center"/>
    </xf>
    <xf numFmtId="1" fontId="5" fillId="8" borderId="218" xfId="0" applyNumberFormat="1" applyFont="1" applyFill="1" applyBorder="1" applyAlignment="1">
      <alignment horizontal="center" vertical="center"/>
    </xf>
    <xf numFmtId="1" fontId="5" fillId="0" borderId="195" xfId="0" applyNumberFormat="1" applyFont="1" applyBorder="1" applyAlignment="1">
      <alignment horizontal="center" vertical="center"/>
    </xf>
    <xf numFmtId="0" fontId="1" fillId="7" borderId="216" xfId="0" applyFont="1" applyFill="1" applyBorder="1" applyAlignment="1">
      <alignment horizontal="center" vertical="center"/>
    </xf>
    <xf numFmtId="1" fontId="5" fillId="10" borderId="63" xfId="0" applyNumberFormat="1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vertical="center"/>
    </xf>
    <xf numFmtId="1" fontId="5" fillId="10" borderId="78" xfId="0" applyNumberFormat="1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1" fillId="7" borderId="56" xfId="0" applyFont="1" applyFill="1" applyBorder="1" applyAlignment="1">
      <alignment horizontal="center" vertical="center"/>
    </xf>
    <xf numFmtId="1" fontId="5" fillId="10" borderId="70" xfId="0" applyNumberFormat="1" applyFont="1" applyFill="1" applyBorder="1" applyAlignment="1">
      <alignment horizontal="center" vertical="center"/>
    </xf>
    <xf numFmtId="0" fontId="1" fillId="7" borderId="72" xfId="0" applyFont="1" applyFill="1" applyBorder="1" applyAlignment="1">
      <alignment horizontal="center" vertical="center"/>
    </xf>
    <xf numFmtId="0" fontId="14" fillId="52" borderId="198" xfId="0" applyFont="1" applyFill="1" applyBorder="1" applyAlignment="1">
      <alignment horizontal="center" vertical="center"/>
    </xf>
    <xf numFmtId="0" fontId="79" fillId="70" borderId="214" xfId="0" applyFont="1" applyFill="1" applyBorder="1" applyAlignment="1">
      <alignment horizontal="center" vertical="center"/>
    </xf>
    <xf numFmtId="1" fontId="5" fillId="10" borderId="241" xfId="0" applyNumberFormat="1" applyFont="1" applyFill="1" applyBorder="1" applyAlignment="1">
      <alignment horizontal="center" vertical="center"/>
    </xf>
    <xf numFmtId="1" fontId="5" fillId="16" borderId="241" xfId="0" applyNumberFormat="1" applyFont="1" applyFill="1" applyBorder="1" applyAlignment="1">
      <alignment horizontal="center" vertical="center"/>
    </xf>
    <xf numFmtId="0" fontId="5" fillId="20" borderId="148" xfId="0" applyFont="1" applyFill="1" applyBorder="1" applyAlignment="1">
      <alignment vertical="center"/>
    </xf>
    <xf numFmtId="42" fontId="1" fillId="7" borderId="0" xfId="0" applyNumberFormat="1" applyFont="1" applyFill="1" applyAlignment="1">
      <alignment vertical="center"/>
    </xf>
    <xf numFmtId="0" fontId="5" fillId="51" borderId="14" xfId="0" applyFont="1" applyFill="1" applyBorder="1" applyAlignment="1">
      <alignment horizontal="center" vertical="center"/>
    </xf>
    <xf numFmtId="0" fontId="1" fillId="83" borderId="6" xfId="0" applyFont="1" applyFill="1" applyBorder="1" applyAlignment="1">
      <alignment horizontal="left" vertical="center"/>
    </xf>
    <xf numFmtId="0" fontId="1" fillId="83" borderId="8" xfId="0" applyFont="1" applyFill="1" applyBorder="1" applyAlignment="1">
      <alignment horizontal="left" vertical="center"/>
    </xf>
    <xf numFmtId="42" fontId="1" fillId="51" borderId="39" xfId="0" applyNumberFormat="1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left" vertical="center"/>
    </xf>
    <xf numFmtId="0" fontId="5" fillId="51" borderId="47" xfId="0" applyFont="1" applyFill="1" applyBorder="1" applyAlignment="1">
      <alignment horizontal="center" vertical="center"/>
    </xf>
    <xf numFmtId="0" fontId="1" fillId="83" borderId="48" xfId="0" applyFont="1" applyFill="1" applyBorder="1" applyAlignment="1">
      <alignment horizontal="left" vertical="center"/>
    </xf>
    <xf numFmtId="0" fontId="1" fillId="83" borderId="80" xfId="0" applyFont="1" applyFill="1" applyBorder="1" applyAlignment="1">
      <alignment horizontal="left" vertical="center"/>
    </xf>
    <xf numFmtId="42" fontId="1" fillId="51" borderId="92" xfId="0" applyNumberFormat="1" applyFont="1" applyFill="1" applyBorder="1" applyAlignment="1">
      <alignment horizontal="center" vertical="center"/>
    </xf>
    <xf numFmtId="0" fontId="5" fillId="9" borderId="71" xfId="0" applyFont="1" applyFill="1" applyBorder="1" applyAlignment="1">
      <alignment horizontal="center" vertical="center"/>
    </xf>
    <xf numFmtId="0" fontId="1" fillId="9" borderId="72" xfId="0" applyFont="1" applyFill="1" applyBorder="1" applyAlignment="1">
      <alignment horizontal="left" vertical="center"/>
    </xf>
    <xf numFmtId="42" fontId="1" fillId="9" borderId="55" xfId="0" applyNumberFormat="1" applyFont="1" applyFill="1" applyBorder="1" applyAlignment="1">
      <alignment horizontal="center" vertical="center"/>
    </xf>
    <xf numFmtId="0" fontId="1" fillId="50" borderId="32" xfId="0" applyFont="1" applyFill="1" applyBorder="1" applyAlignment="1">
      <alignment horizontal="center" vertical="center"/>
    </xf>
    <xf numFmtId="0" fontId="1" fillId="50" borderId="195" xfId="0" applyFont="1" applyFill="1" applyBorder="1" applyAlignment="1">
      <alignment horizontal="center" vertical="center"/>
    </xf>
    <xf numFmtId="0" fontId="1" fillId="50" borderId="38" xfId="0" applyFont="1" applyFill="1" applyBorder="1" applyAlignment="1">
      <alignment vertical="center"/>
    </xf>
    <xf numFmtId="0" fontId="1" fillId="50" borderId="13" xfId="0" applyFont="1" applyFill="1" applyBorder="1" applyAlignment="1">
      <alignment vertical="center"/>
    </xf>
    <xf numFmtId="0" fontId="1" fillId="51" borderId="30" xfId="0" applyFont="1" applyFill="1" applyBorder="1" applyAlignment="1">
      <alignment horizontal="center" vertical="center"/>
    </xf>
    <xf numFmtId="0" fontId="1" fillId="51" borderId="9" xfId="0" applyFont="1" applyFill="1" applyBorder="1" applyAlignment="1">
      <alignment horizontal="center" vertical="center"/>
    </xf>
    <xf numFmtId="0" fontId="1" fillId="50" borderId="91" xfId="0" applyFont="1" applyFill="1" applyBorder="1" applyAlignment="1">
      <alignment horizontal="center" vertical="center"/>
    </xf>
    <xf numFmtId="0" fontId="1" fillId="51" borderId="176" xfId="0" applyFont="1" applyFill="1" applyBorder="1" applyAlignment="1">
      <alignment horizontal="center" vertical="center"/>
    </xf>
    <xf numFmtId="0" fontId="5" fillId="51" borderId="20" xfId="0" applyFont="1" applyFill="1" applyBorder="1" applyAlignment="1">
      <alignment horizontal="center" vertical="center"/>
    </xf>
    <xf numFmtId="0" fontId="1" fillId="83" borderId="11" xfId="0" applyFont="1" applyFill="1" applyBorder="1" applyAlignment="1">
      <alignment horizontal="left" vertical="center"/>
    </xf>
    <xf numFmtId="0" fontId="1" fillId="83" borderId="69" xfId="0" applyFont="1" applyFill="1" applyBorder="1" applyAlignment="1">
      <alignment horizontal="left" vertical="center"/>
    </xf>
    <xf numFmtId="42" fontId="1" fillId="51" borderId="90" xfId="0" applyNumberFormat="1" applyFont="1" applyFill="1" applyBorder="1" applyAlignment="1">
      <alignment horizontal="center" vertical="center"/>
    </xf>
    <xf numFmtId="0" fontId="79" fillId="70" borderId="232" xfId="0" applyFont="1" applyFill="1" applyBorder="1" applyAlignment="1">
      <alignment horizontal="center" vertical="center"/>
    </xf>
    <xf numFmtId="0" fontId="79" fillId="70" borderId="230" xfId="0" applyFont="1" applyFill="1" applyBorder="1" applyAlignment="1">
      <alignment horizontal="center" vertical="center"/>
    </xf>
    <xf numFmtId="0" fontId="8" fillId="7" borderId="21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53" fillId="0" borderId="21" xfId="0" applyFont="1" applyBorder="1" applyAlignment="1">
      <alignment horizontal="left" vertical="center"/>
    </xf>
    <xf numFmtId="0" fontId="5" fillId="52" borderId="99" xfId="0" applyFont="1" applyFill="1" applyBorder="1" applyAlignment="1">
      <alignment horizontal="left" vertical="center"/>
    </xf>
    <xf numFmtId="0" fontId="5" fillId="52" borderId="99" xfId="0" applyFont="1" applyFill="1" applyBorder="1" applyAlignment="1">
      <alignment vertical="center"/>
    </xf>
    <xf numFmtId="167" fontId="1" fillId="52" borderId="65" xfId="4" applyNumberFormat="1" applyFont="1" applyFill="1" applyBorder="1" applyAlignment="1">
      <alignment horizontal="center" vertical="center"/>
    </xf>
    <xf numFmtId="0" fontId="5" fillId="52" borderId="59" xfId="0" applyFont="1" applyFill="1" applyBorder="1" applyAlignment="1">
      <alignment horizontal="left" vertical="center"/>
    </xf>
    <xf numFmtId="0" fontId="5" fillId="52" borderId="59" xfId="0" applyFont="1" applyFill="1" applyBorder="1" applyAlignment="1">
      <alignment vertical="center"/>
    </xf>
    <xf numFmtId="167" fontId="1" fillId="52" borderId="158" xfId="4" applyNumberFormat="1" applyFont="1" applyFill="1" applyBorder="1" applyAlignment="1">
      <alignment horizontal="center" vertical="center"/>
    </xf>
    <xf numFmtId="0" fontId="76" fillId="0" borderId="21" xfId="0" applyFont="1" applyBorder="1" applyAlignment="1">
      <alignment horizontal="center" vertical="center"/>
    </xf>
    <xf numFmtId="20" fontId="53" fillId="0" borderId="21" xfId="0" applyNumberFormat="1" applyFont="1" applyBorder="1" applyAlignment="1">
      <alignment horizontal="center" vertical="center"/>
    </xf>
    <xf numFmtId="0" fontId="1" fillId="19" borderId="43" xfId="0" applyFont="1" applyFill="1" applyBorder="1" applyAlignment="1">
      <alignment horizontal="center" vertical="center"/>
    </xf>
    <xf numFmtId="42" fontId="1" fillId="18" borderId="90" xfId="0" applyNumberFormat="1" applyFont="1" applyFill="1" applyBorder="1" applyAlignment="1">
      <alignment horizontal="center" vertical="center"/>
    </xf>
    <xf numFmtId="0" fontId="1" fillId="16" borderId="37" xfId="0" applyFont="1" applyFill="1" applyBorder="1" applyAlignment="1">
      <alignment horizontal="center" vertical="center"/>
    </xf>
    <xf numFmtId="0" fontId="1" fillId="10" borderId="37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8" borderId="41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/>
    </xf>
    <xf numFmtId="0" fontId="5" fillId="0" borderId="185" xfId="0" applyFont="1" applyBorder="1" applyAlignment="1">
      <alignment horizontal="center" vertical="center" wrapText="1"/>
    </xf>
    <xf numFmtId="0" fontId="5" fillId="15" borderId="185" xfId="0" applyFont="1" applyFill="1" applyBorder="1" applyAlignment="1">
      <alignment horizontal="center" vertical="center" wrapText="1"/>
    </xf>
    <xf numFmtId="0" fontId="5" fillId="0" borderId="166" xfId="0" applyFont="1" applyBorder="1" applyAlignment="1">
      <alignment horizontal="center" vertical="center"/>
    </xf>
    <xf numFmtId="42" fontId="1" fillId="0" borderId="141" xfId="0" applyNumberFormat="1" applyFont="1" applyBorder="1" applyAlignment="1">
      <alignment vertical="center"/>
    </xf>
    <xf numFmtId="0" fontId="1" fillId="37" borderId="96" xfId="0" applyFont="1" applyFill="1" applyBorder="1" applyAlignment="1">
      <alignment horizontal="center" vertical="center"/>
    </xf>
    <xf numFmtId="0" fontId="1" fillId="37" borderId="62" xfId="0" applyFont="1" applyFill="1" applyBorder="1" applyAlignment="1">
      <alignment horizontal="center" vertical="center"/>
    </xf>
    <xf numFmtId="0" fontId="5" fillId="15" borderId="125" xfId="0" applyFont="1" applyFill="1" applyBorder="1" applyAlignment="1">
      <alignment horizontal="center" vertical="center"/>
    </xf>
    <xf numFmtId="0" fontId="1" fillId="10" borderId="141" xfId="0" applyFont="1" applyFill="1" applyBorder="1" applyAlignment="1">
      <alignment horizontal="center" vertical="center"/>
    </xf>
    <xf numFmtId="42" fontId="1" fillId="20" borderId="62" xfId="0" applyNumberFormat="1" applyFont="1" applyFill="1" applyBorder="1" applyAlignment="1">
      <alignment horizontal="center" vertical="center"/>
    </xf>
    <xf numFmtId="0" fontId="5" fillId="20" borderId="97" xfId="0" applyFont="1" applyFill="1" applyBorder="1" applyAlignment="1">
      <alignment horizontal="left" vertical="center"/>
    </xf>
    <xf numFmtId="0" fontId="8" fillId="0" borderId="21" xfId="0" applyFont="1" applyBorder="1" applyAlignment="1">
      <alignment vertical="center" wrapText="1"/>
    </xf>
    <xf numFmtId="0" fontId="53" fillId="0" borderId="21" xfId="0" applyFont="1" applyBorder="1" applyAlignment="1">
      <alignment vertical="top"/>
    </xf>
    <xf numFmtId="0" fontId="53" fillId="0" borderId="21" xfId="0" applyFont="1" applyBorder="1" applyAlignment="1">
      <alignment horizontal="left" vertical="top"/>
    </xf>
    <xf numFmtId="0" fontId="1" fillId="0" borderId="66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85" xfId="0" applyFont="1" applyBorder="1" applyAlignment="1">
      <alignment vertical="center"/>
    </xf>
    <xf numFmtId="0" fontId="1" fillId="0" borderId="50" xfId="0" applyFont="1" applyBorder="1" applyAlignment="1">
      <alignment horizontal="center" vertical="center"/>
    </xf>
    <xf numFmtId="0" fontId="1" fillId="10" borderId="216" xfId="0" applyFont="1" applyFill="1" applyBorder="1" applyAlignment="1">
      <alignment vertical="center"/>
    </xf>
    <xf numFmtId="0" fontId="1" fillId="0" borderId="213" xfId="0" applyFont="1" applyBorder="1" applyAlignment="1">
      <alignment vertical="center"/>
    </xf>
    <xf numFmtId="0" fontId="1" fillId="10" borderId="37" xfId="0" applyFont="1" applyFill="1" applyBorder="1" applyAlignment="1">
      <alignment vertical="center"/>
    </xf>
    <xf numFmtId="0" fontId="1" fillId="8" borderId="107" xfId="0" applyFont="1" applyFill="1" applyBorder="1" applyAlignment="1">
      <alignment vertical="center"/>
    </xf>
    <xf numFmtId="0" fontId="1" fillId="8" borderId="36" xfId="0" applyFont="1" applyFill="1" applyBorder="1" applyAlignment="1">
      <alignment vertical="center"/>
    </xf>
    <xf numFmtId="0" fontId="1" fillId="8" borderId="37" xfId="0" applyFont="1" applyFill="1" applyBorder="1" applyAlignment="1">
      <alignment vertical="center"/>
    </xf>
    <xf numFmtId="0" fontId="1" fillId="68" borderId="37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0" fontId="1" fillId="0" borderId="144" xfId="0" applyFont="1" applyBorder="1" applyAlignment="1">
      <alignment vertical="center"/>
    </xf>
    <xf numFmtId="0" fontId="1" fillId="0" borderId="227" xfId="0" applyFont="1" applyBorder="1" applyAlignment="1">
      <alignment vertical="center"/>
    </xf>
    <xf numFmtId="0" fontId="1" fillId="8" borderId="95" xfId="0" applyFont="1" applyFill="1" applyBorder="1" applyAlignment="1">
      <alignment vertical="center"/>
    </xf>
    <xf numFmtId="0" fontId="1" fillId="0" borderId="95" xfId="0" applyFont="1" applyBorder="1" applyAlignment="1">
      <alignment vertical="center"/>
    </xf>
    <xf numFmtId="0" fontId="1" fillId="8" borderId="96" xfId="0" applyFont="1" applyFill="1" applyBorder="1" applyAlignment="1">
      <alignment vertical="center"/>
    </xf>
    <xf numFmtId="0" fontId="8" fillId="0" borderId="30" xfId="0" applyFont="1" applyBorder="1" applyAlignment="1">
      <alignment vertical="center" wrapText="1"/>
    </xf>
    <xf numFmtId="1" fontId="8" fillId="10" borderId="59" xfId="0" applyNumberFormat="1" applyFont="1" applyFill="1" applyBorder="1" applyAlignment="1">
      <alignment horizontal="center" vertical="center"/>
    </xf>
    <xf numFmtId="1" fontId="8" fillId="41" borderId="99" xfId="0" applyNumberFormat="1" applyFont="1" applyFill="1" applyBorder="1" applyAlignment="1">
      <alignment horizontal="center" vertical="center"/>
    </xf>
    <xf numFmtId="1" fontId="5" fillId="20" borderId="75" xfId="0" applyNumberFormat="1" applyFont="1" applyFill="1" applyBorder="1" applyAlignment="1">
      <alignment horizontal="center" vertical="center"/>
    </xf>
    <xf numFmtId="0" fontId="7" fillId="20" borderId="149" xfId="0" applyFont="1" applyFill="1" applyBorder="1" applyAlignment="1">
      <alignment vertical="center"/>
    </xf>
    <xf numFmtId="0" fontId="1" fillId="20" borderId="10" xfId="0" applyFont="1" applyFill="1" applyBorder="1" applyAlignment="1">
      <alignment horizontal="left" vertical="center"/>
    </xf>
    <xf numFmtId="0" fontId="5" fillId="20" borderId="11" xfId="0" applyFont="1" applyFill="1" applyBorder="1" applyAlignment="1">
      <alignment horizontal="left" vertical="center"/>
    </xf>
    <xf numFmtId="0" fontId="1" fillId="9" borderId="41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0" fontId="1" fillId="9" borderId="155" xfId="0" applyFont="1" applyFill="1" applyBorder="1" applyAlignment="1">
      <alignment horizontal="center" vertical="center"/>
    </xf>
    <xf numFmtId="0" fontId="1" fillId="37" borderId="134" xfId="0" applyFont="1" applyFill="1" applyBorder="1" applyAlignment="1">
      <alignment horizontal="center" vertical="center"/>
    </xf>
    <xf numFmtId="0" fontId="1" fillId="8" borderId="137" xfId="0" applyFont="1" applyFill="1" applyBorder="1" applyAlignment="1">
      <alignment horizontal="center" vertical="center"/>
    </xf>
    <xf numFmtId="0" fontId="1" fillId="0" borderId="137" xfId="0" applyFont="1" applyBorder="1" applyAlignment="1">
      <alignment horizontal="center" vertical="center"/>
    </xf>
    <xf numFmtId="0" fontId="1" fillId="5" borderId="50" xfId="0" applyFont="1" applyFill="1" applyBorder="1" applyAlignment="1">
      <alignment horizontal="center" vertical="center"/>
    </xf>
    <xf numFmtId="0" fontId="1" fillId="15" borderId="42" xfId="0" applyFont="1" applyFill="1" applyBorder="1" applyAlignment="1">
      <alignment horizontal="center" vertical="center"/>
    </xf>
    <xf numFmtId="1" fontId="5" fillId="15" borderId="244" xfId="0" applyNumberFormat="1" applyFont="1" applyFill="1" applyBorder="1" applyAlignment="1">
      <alignment horizontal="center" vertical="center"/>
    </xf>
    <xf numFmtId="1" fontId="5" fillId="7" borderId="245" xfId="0" applyNumberFormat="1" applyFont="1" applyFill="1" applyBorder="1" applyAlignment="1">
      <alignment horizontal="center" vertical="center"/>
    </xf>
    <xf numFmtId="42" fontId="1" fillId="7" borderId="120" xfId="0" applyNumberFormat="1" applyFont="1" applyFill="1" applyBorder="1" applyAlignment="1">
      <alignment vertical="center"/>
    </xf>
    <xf numFmtId="0" fontId="1" fillId="7" borderId="95" xfId="0" applyFont="1" applyFill="1" applyBorder="1" applyAlignment="1">
      <alignment vertical="center"/>
    </xf>
    <xf numFmtId="0" fontId="1" fillId="7" borderId="36" xfId="0" applyFont="1" applyFill="1" applyBorder="1" applyAlignment="1">
      <alignment vertical="center"/>
    </xf>
    <xf numFmtId="0" fontId="1" fillId="7" borderId="37" xfId="0" applyFont="1" applyFill="1" applyBorder="1" applyAlignment="1">
      <alignment vertical="center"/>
    </xf>
    <xf numFmtId="0" fontId="1" fillId="15" borderId="22" xfId="0" applyFont="1" applyFill="1" applyBorder="1" applyAlignment="1">
      <alignment horizontal="center" vertical="center"/>
    </xf>
    <xf numFmtId="0" fontId="1" fillId="8" borderId="37" xfId="0" applyFont="1" applyFill="1" applyBorder="1" applyAlignment="1">
      <alignment horizontal="center" vertical="center"/>
    </xf>
    <xf numFmtId="0" fontId="1" fillId="7" borderId="132" xfId="0" applyFont="1" applyFill="1" applyBorder="1" applyAlignment="1">
      <alignment horizontal="center" vertical="center"/>
    </xf>
    <xf numFmtId="0" fontId="1" fillId="8" borderId="65" xfId="0" applyFont="1" applyFill="1" applyBorder="1" applyAlignment="1">
      <alignment horizontal="center" vertical="center"/>
    </xf>
    <xf numFmtId="0" fontId="1" fillId="0" borderId="15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22" fillId="26" borderId="132" xfId="0" applyFont="1" applyFill="1" applyBorder="1" applyAlignment="1">
      <alignment horizontal="center" vertical="center"/>
    </xf>
    <xf numFmtId="0" fontId="1" fillId="29" borderId="173" xfId="0" applyFont="1" applyFill="1" applyBorder="1" applyAlignment="1">
      <alignment horizontal="center" vertical="center" wrapText="1"/>
    </xf>
    <xf numFmtId="0" fontId="22" fillId="26" borderId="98" xfId="0" applyFont="1" applyFill="1" applyBorder="1" applyAlignment="1">
      <alignment horizontal="center" vertical="center"/>
    </xf>
    <xf numFmtId="0" fontId="1" fillId="2" borderId="172" xfId="0" applyFont="1" applyFill="1" applyBorder="1" applyAlignment="1">
      <alignment horizontal="left" vertical="center"/>
    </xf>
    <xf numFmtId="0" fontId="5" fillId="7" borderId="195" xfId="0" applyFont="1" applyFill="1" applyBorder="1" applyAlignment="1">
      <alignment horizontal="center" vertical="center"/>
    </xf>
    <xf numFmtId="0" fontId="5" fillId="5" borderId="218" xfId="0" applyFont="1" applyFill="1" applyBorder="1" applyAlignment="1">
      <alignment horizontal="center" vertical="center"/>
    </xf>
    <xf numFmtId="0" fontId="22" fillId="8" borderId="94" xfId="0" applyFont="1" applyFill="1" applyBorder="1" applyAlignment="1">
      <alignment vertical="center"/>
    </xf>
    <xf numFmtId="42" fontId="1" fillId="5" borderId="109" xfId="0" applyNumberFormat="1" applyFont="1" applyFill="1" applyBorder="1" applyAlignment="1">
      <alignment horizontal="center" vertical="center"/>
    </xf>
    <xf numFmtId="0" fontId="1" fillId="0" borderId="158" xfId="0" applyFont="1" applyBorder="1" applyAlignment="1">
      <alignment horizontal="center" vertical="center"/>
    </xf>
    <xf numFmtId="0" fontId="1" fillId="8" borderId="158" xfId="0" applyFont="1" applyFill="1" applyBorder="1" applyAlignment="1">
      <alignment horizontal="center" vertical="center"/>
    </xf>
    <xf numFmtId="0" fontId="1" fillId="26" borderId="237" xfId="0" applyFont="1" applyFill="1" applyBorder="1" applyAlignment="1">
      <alignment horizontal="center" vertical="center"/>
    </xf>
    <xf numFmtId="0" fontId="1" fillId="7" borderId="238" xfId="0" applyFont="1" applyFill="1" applyBorder="1" applyAlignment="1">
      <alignment vertical="center"/>
    </xf>
    <xf numFmtId="0" fontId="22" fillId="7" borderId="160" xfId="0" applyFont="1" applyFill="1" applyBorder="1" applyAlignment="1">
      <alignment vertical="center"/>
    </xf>
    <xf numFmtId="0" fontId="22" fillId="7" borderId="108" xfId="0" applyFont="1" applyFill="1" applyBorder="1" applyAlignment="1">
      <alignment vertical="center"/>
    </xf>
    <xf numFmtId="42" fontId="22" fillId="7" borderId="250" xfId="1" applyFont="1" applyFill="1" applyBorder="1" applyAlignment="1">
      <alignment horizontal="center" vertical="center"/>
    </xf>
    <xf numFmtId="0" fontId="1" fillId="15" borderId="111" xfId="0" applyFont="1" applyFill="1" applyBorder="1" applyAlignment="1">
      <alignment vertical="center"/>
    </xf>
    <xf numFmtId="0" fontId="1" fillId="15" borderId="73" xfId="0" applyFont="1" applyFill="1" applyBorder="1" applyAlignment="1">
      <alignment vertical="center"/>
    </xf>
    <xf numFmtId="42" fontId="1" fillId="15" borderId="83" xfId="0" applyNumberFormat="1" applyFont="1" applyFill="1" applyBorder="1" applyAlignment="1">
      <alignment horizontal="center" vertical="center"/>
    </xf>
    <xf numFmtId="0" fontId="1" fillId="15" borderId="112" xfId="0" applyFont="1" applyFill="1" applyBorder="1" applyAlignment="1">
      <alignment horizontal="center" vertical="center" wrapText="1"/>
    </xf>
    <xf numFmtId="0" fontId="22" fillId="15" borderId="80" xfId="0" applyFont="1" applyFill="1" applyBorder="1" applyAlignment="1">
      <alignment vertical="center"/>
    </xf>
    <xf numFmtId="0" fontId="1" fillId="15" borderId="95" xfId="0" applyFont="1" applyFill="1" applyBorder="1" applyAlignment="1">
      <alignment vertical="center"/>
    </xf>
    <xf numFmtId="0" fontId="1" fillId="15" borderId="36" xfId="0" applyFont="1" applyFill="1" applyBorder="1" applyAlignment="1">
      <alignment vertical="center"/>
    </xf>
    <xf numFmtId="0" fontId="1" fillId="15" borderId="37" xfId="0" applyFont="1" applyFill="1" applyBorder="1" applyAlignment="1">
      <alignment vertical="center"/>
    </xf>
    <xf numFmtId="0" fontId="1" fillId="5" borderId="166" xfId="0" applyFont="1" applyFill="1" applyBorder="1" applyAlignment="1">
      <alignment vertical="center"/>
    </xf>
    <xf numFmtId="0" fontId="1" fillId="5" borderId="112" xfId="0" applyFont="1" applyFill="1" applyBorder="1" applyAlignment="1">
      <alignment horizontal="center" vertical="center"/>
    </xf>
    <xf numFmtId="0" fontId="1" fillId="29" borderId="140" xfId="0" applyFont="1" applyFill="1" applyBorder="1" applyAlignment="1">
      <alignment horizontal="center" vertical="center"/>
    </xf>
    <xf numFmtId="0" fontId="1" fillId="29" borderId="40" xfId="0" applyFont="1" applyFill="1" applyBorder="1" applyAlignment="1">
      <alignment horizontal="center" vertical="center"/>
    </xf>
    <xf numFmtId="0" fontId="1" fillId="0" borderId="195" xfId="0" applyFont="1" applyBorder="1" applyAlignment="1">
      <alignment horizontal="center" vertical="center" wrapText="1"/>
    </xf>
    <xf numFmtId="0" fontId="1" fillId="8" borderId="261" xfId="0" applyFont="1" applyFill="1" applyBorder="1" applyAlignment="1">
      <alignment horizontal="center" vertical="center"/>
    </xf>
    <xf numFmtId="0" fontId="1" fillId="7" borderId="154" xfId="0" applyFont="1" applyFill="1" applyBorder="1" applyAlignment="1">
      <alignment horizontal="center" vertical="center"/>
    </xf>
    <xf numFmtId="0" fontId="1" fillId="8" borderId="154" xfId="0" applyFont="1" applyFill="1" applyBorder="1" applyAlignment="1">
      <alignment horizontal="center" vertical="center"/>
    </xf>
    <xf numFmtId="0" fontId="1" fillId="8" borderId="208" xfId="0" applyFont="1" applyFill="1" applyBorder="1" applyAlignment="1">
      <alignment horizontal="center" vertical="center"/>
    </xf>
    <xf numFmtId="0" fontId="1" fillId="7" borderId="261" xfId="0" applyFont="1" applyFill="1" applyBorder="1" applyAlignment="1">
      <alignment horizontal="center" vertical="center"/>
    </xf>
    <xf numFmtId="165" fontId="1" fillId="8" borderId="155" xfId="0" applyNumberFormat="1" applyFont="1" applyFill="1" applyBorder="1" applyAlignment="1">
      <alignment horizontal="center" vertical="center"/>
    </xf>
    <xf numFmtId="165" fontId="1" fillId="7" borderId="134" xfId="0" applyNumberFormat="1" applyFont="1" applyFill="1" applyBorder="1" applyAlignment="1">
      <alignment horizontal="center" vertical="center"/>
    </xf>
    <xf numFmtId="165" fontId="1" fillId="8" borderId="262" xfId="0" applyNumberFormat="1" applyFont="1" applyFill="1" applyBorder="1" applyAlignment="1">
      <alignment horizontal="center" vertical="center"/>
    </xf>
    <xf numFmtId="165" fontId="1" fillId="10" borderId="154" xfId="0" applyNumberFormat="1" applyFont="1" applyFill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26" borderId="129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5" borderId="6" xfId="0" applyFont="1" applyFill="1" applyBorder="1" applyAlignment="1">
      <alignment vertical="center"/>
    </xf>
    <xf numFmtId="1" fontId="5" fillId="10" borderId="217" xfId="0" applyNumberFormat="1" applyFont="1" applyFill="1" applyBorder="1" applyAlignment="1">
      <alignment horizontal="center" vertical="center"/>
    </xf>
    <xf numFmtId="0" fontId="1" fillId="7" borderId="65" xfId="0" applyFont="1" applyFill="1" applyBorder="1" applyAlignment="1">
      <alignment horizontal="center" vertical="center"/>
    </xf>
    <xf numFmtId="0" fontId="1" fillId="37" borderId="65" xfId="0" applyFont="1" applyFill="1" applyBorder="1" applyAlignment="1">
      <alignment horizontal="center" vertical="center"/>
    </xf>
    <xf numFmtId="0" fontId="1" fillId="16" borderId="228" xfId="0" applyFont="1" applyFill="1" applyBorder="1" applyAlignment="1">
      <alignment horizontal="center" vertical="center"/>
    </xf>
    <xf numFmtId="0" fontId="1" fillId="84" borderId="44" xfId="0" applyFont="1" applyFill="1" applyBorder="1" applyAlignment="1">
      <alignment horizontal="center" vertical="center"/>
    </xf>
    <xf numFmtId="0" fontId="1" fillId="76" borderId="44" xfId="0" applyFont="1" applyFill="1" applyBorder="1" applyAlignment="1">
      <alignment horizontal="center" vertical="center"/>
    </xf>
    <xf numFmtId="0" fontId="5" fillId="37" borderId="241" xfId="0" applyFont="1" applyFill="1" applyBorder="1" applyAlignment="1">
      <alignment horizontal="center" vertical="center"/>
    </xf>
    <xf numFmtId="0" fontId="5" fillId="37" borderId="163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right" vertical="center"/>
    </xf>
    <xf numFmtId="0" fontId="1" fillId="5" borderId="41" xfId="0" applyFont="1" applyFill="1" applyBorder="1" applyAlignment="1">
      <alignment horizontal="center" vertical="center"/>
    </xf>
    <xf numFmtId="0" fontId="1" fillId="15" borderId="39" xfId="0" applyFont="1" applyFill="1" applyBorder="1" applyAlignment="1">
      <alignment horizontal="center" vertical="center"/>
    </xf>
    <xf numFmtId="0" fontId="1" fillId="15" borderId="92" xfId="0" applyFont="1" applyFill="1" applyBorder="1" applyAlignment="1">
      <alignment horizontal="center" vertical="center"/>
    </xf>
    <xf numFmtId="0" fontId="1" fillId="15" borderId="34" xfId="0" applyFont="1" applyFill="1" applyBorder="1" applyAlignment="1">
      <alignment horizontal="left" vertical="center"/>
    </xf>
    <xf numFmtId="0" fontId="1" fillId="9" borderId="39" xfId="0" applyFont="1" applyFill="1" applyBorder="1" applyAlignment="1">
      <alignment horizontal="center" vertical="center"/>
    </xf>
    <xf numFmtId="0" fontId="22" fillId="20" borderId="37" xfId="0" applyFont="1" applyFill="1" applyBorder="1" applyAlignment="1">
      <alignment horizontal="center" vertical="center" wrapText="1"/>
    </xf>
    <xf numFmtId="0" fontId="21" fillId="20" borderId="250" xfId="0" applyFont="1" applyFill="1" applyBorder="1" applyAlignment="1">
      <alignment horizontal="center" vertical="center" wrapText="1"/>
    </xf>
    <xf numFmtId="0" fontId="21" fillId="20" borderId="115" xfId="0" applyFont="1" applyFill="1" applyBorder="1" applyAlignment="1">
      <alignment horizontal="center" vertical="center" wrapText="1"/>
    </xf>
    <xf numFmtId="0" fontId="22" fillId="20" borderId="95" xfId="0" applyFont="1" applyFill="1" applyBorder="1" applyAlignment="1">
      <alignment horizontal="center" vertical="center" wrapText="1"/>
    </xf>
    <xf numFmtId="0" fontId="80" fillId="0" borderId="34" xfId="0" applyFont="1" applyBorder="1" applyAlignment="1">
      <alignment horizontal="center" vertical="center"/>
    </xf>
    <xf numFmtId="0" fontId="81" fillId="41" borderId="162" xfId="0" applyFont="1" applyFill="1" applyBorder="1" applyAlignment="1">
      <alignment horizontal="center" vertical="center"/>
    </xf>
    <xf numFmtId="0" fontId="81" fillId="16" borderId="162" xfId="0" applyFont="1" applyFill="1" applyBorder="1" applyAlignment="1">
      <alignment horizontal="center" vertical="center"/>
    </xf>
    <xf numFmtId="0" fontId="81" fillId="10" borderId="162" xfId="0" applyFont="1" applyFill="1" applyBorder="1" applyAlignment="1">
      <alignment horizontal="center" vertical="center"/>
    </xf>
    <xf numFmtId="0" fontId="81" fillId="43" borderId="162" xfId="0" applyFont="1" applyFill="1" applyBorder="1" applyAlignment="1">
      <alignment horizontal="center" vertical="center"/>
    </xf>
    <xf numFmtId="0" fontId="29" fillId="43" borderId="163" xfId="0" applyFont="1" applyFill="1" applyBorder="1" applyAlignment="1">
      <alignment horizontal="center" vertical="center"/>
    </xf>
    <xf numFmtId="0" fontId="5" fillId="37" borderId="160" xfId="0" applyFont="1" applyFill="1" applyBorder="1" applyAlignment="1">
      <alignment horizontal="center" vertical="center"/>
    </xf>
    <xf numFmtId="0" fontId="1" fillId="15" borderId="76" xfId="0" applyFont="1" applyFill="1" applyBorder="1" applyAlignment="1">
      <alignment vertical="center"/>
    </xf>
    <xf numFmtId="0" fontId="1" fillId="15" borderId="124" xfId="0" applyFont="1" applyFill="1" applyBorder="1" applyAlignment="1">
      <alignment vertical="center"/>
    </xf>
    <xf numFmtId="0" fontId="1" fillId="15" borderId="213" xfId="0" applyFont="1" applyFill="1" applyBorder="1" applyAlignment="1">
      <alignment vertical="center"/>
    </xf>
    <xf numFmtId="0" fontId="1" fillId="15" borderId="201" xfId="0" applyFont="1" applyFill="1" applyBorder="1" applyAlignment="1">
      <alignment vertical="center"/>
    </xf>
    <xf numFmtId="0" fontId="5" fillId="16" borderId="10" xfId="0" applyFont="1" applyFill="1" applyBorder="1" applyAlignment="1">
      <alignment horizontal="left" vertical="center"/>
    </xf>
    <xf numFmtId="0" fontId="5" fillId="16" borderId="6" xfId="0" applyFont="1" applyFill="1" applyBorder="1" applyAlignment="1">
      <alignment horizontal="left" vertical="center"/>
    </xf>
    <xf numFmtId="0" fontId="47" fillId="47" borderId="51" xfId="0" applyFont="1" applyFill="1" applyBorder="1" applyAlignment="1">
      <alignment horizontal="center" vertical="center" wrapText="1"/>
    </xf>
    <xf numFmtId="0" fontId="48" fillId="47" borderId="206" xfId="0" applyFont="1" applyFill="1" applyBorder="1"/>
    <xf numFmtId="0" fontId="73" fillId="70" borderId="220" xfId="0" applyFont="1" applyFill="1" applyBorder="1" applyAlignment="1">
      <alignment horizontal="center" vertical="center" wrapText="1"/>
    </xf>
    <xf numFmtId="0" fontId="73" fillId="70" borderId="176" xfId="0" applyFont="1" applyFill="1" applyBorder="1" applyAlignment="1">
      <alignment horizontal="center" vertical="center" wrapText="1"/>
    </xf>
    <xf numFmtId="0" fontId="48" fillId="47" borderId="88" xfId="0" applyFont="1" applyFill="1" applyBorder="1"/>
    <xf numFmtId="0" fontId="73" fillId="70" borderId="218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22" fillId="0" borderId="28" xfId="0" applyFont="1" applyBorder="1"/>
    <xf numFmtId="0" fontId="22" fillId="0" borderId="18" xfId="0" applyFont="1" applyBorder="1"/>
    <xf numFmtId="0" fontId="1" fillId="0" borderId="21" xfId="0" applyFont="1" applyBorder="1"/>
    <xf numFmtId="0" fontId="22" fillId="0" borderId="23" xfId="0" applyFont="1" applyBorder="1"/>
    <xf numFmtId="0" fontId="22" fillId="0" borderId="26" xfId="0" applyFont="1" applyBorder="1"/>
    <xf numFmtId="0" fontId="1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51" borderId="42" xfId="0" applyFont="1" applyFill="1" applyBorder="1" applyAlignment="1">
      <alignment horizontal="center" vertical="center"/>
    </xf>
    <xf numFmtId="0" fontId="1" fillId="51" borderId="44" xfId="0" applyFont="1" applyFill="1" applyBorder="1" applyAlignment="1">
      <alignment horizontal="center" vertical="center"/>
    </xf>
    <xf numFmtId="0" fontId="1" fillId="5" borderId="42" xfId="0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98" xfId="0" applyFont="1" applyBorder="1" applyAlignment="1">
      <alignment horizontal="center" vertical="center"/>
    </xf>
    <xf numFmtId="0" fontId="1" fillId="5" borderId="38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0" borderId="43" xfId="0" applyFont="1" applyBorder="1" applyAlignment="1">
      <alignment horizontal="center" vertical="center" wrapText="1"/>
    </xf>
    <xf numFmtId="0" fontId="22" fillId="0" borderId="38" xfId="0" applyFont="1" applyBorder="1" applyAlignment="1">
      <alignment vertical="center"/>
    </xf>
    <xf numFmtId="0" fontId="64" fillId="64" borderId="17" xfId="0" applyFont="1" applyFill="1" applyBorder="1" applyAlignment="1">
      <alignment horizontal="center" vertical="center"/>
    </xf>
    <xf numFmtId="0" fontId="64" fillId="64" borderId="2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22" fillId="0" borderId="54" xfId="0" applyFont="1" applyBorder="1" applyAlignment="1">
      <alignment vertical="center"/>
    </xf>
    <xf numFmtId="0" fontId="22" fillId="0" borderId="24" xfId="0" applyFont="1" applyBorder="1" applyAlignment="1">
      <alignment vertical="center"/>
    </xf>
    <xf numFmtId="0" fontId="2" fillId="48" borderId="27" xfId="0" applyFont="1" applyFill="1" applyBorder="1" applyAlignment="1">
      <alignment horizontal="center" vertical="center"/>
    </xf>
    <xf numFmtId="0" fontId="2" fillId="48" borderId="28" xfId="0" applyFont="1" applyFill="1" applyBorder="1" applyAlignment="1">
      <alignment horizontal="center" vertical="center"/>
    </xf>
    <xf numFmtId="0" fontId="2" fillId="48" borderId="29" xfId="0" applyFont="1" applyFill="1" applyBorder="1" applyAlignment="1">
      <alignment horizontal="center" vertical="center"/>
    </xf>
    <xf numFmtId="0" fontId="2" fillId="48" borderId="32" xfId="0" applyFont="1" applyFill="1" applyBorder="1" applyAlignment="1">
      <alignment horizontal="center" vertical="center"/>
    </xf>
    <xf numFmtId="0" fontId="2" fillId="48" borderId="33" xfId="0" applyFont="1" applyFill="1" applyBorder="1" applyAlignment="1">
      <alignment horizontal="center" vertical="center"/>
    </xf>
    <xf numFmtId="0" fontId="2" fillId="48" borderId="34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 wrapText="1"/>
    </xf>
    <xf numFmtId="0" fontId="1" fillId="0" borderId="89" xfId="0" applyFont="1" applyBorder="1" applyAlignment="1">
      <alignment horizontal="center" vertical="center" wrapText="1"/>
    </xf>
    <xf numFmtId="0" fontId="1" fillId="0" borderId="7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3" fillId="70" borderId="210" xfId="0" applyFont="1" applyFill="1" applyBorder="1" applyAlignment="1">
      <alignment horizontal="center" vertical="center" wrapText="1"/>
    </xf>
    <xf numFmtId="0" fontId="73" fillId="70" borderId="211" xfId="0" applyFont="1" applyFill="1" applyBorder="1" applyAlignment="1">
      <alignment horizontal="center" vertical="center" wrapText="1"/>
    </xf>
    <xf numFmtId="0" fontId="73" fillId="70" borderId="29" xfId="0" applyFont="1" applyFill="1" applyBorder="1" applyAlignment="1">
      <alignment horizontal="center" vertical="center" wrapText="1"/>
    </xf>
    <xf numFmtId="0" fontId="73" fillId="70" borderId="37" xfId="0" applyFont="1" applyFill="1" applyBorder="1" applyAlignment="1">
      <alignment horizontal="center" vertical="center" wrapText="1"/>
    </xf>
    <xf numFmtId="0" fontId="73" fillId="70" borderId="207" xfId="0" applyFont="1" applyFill="1" applyBorder="1" applyAlignment="1">
      <alignment horizontal="center" vertical="center" wrapText="1"/>
    </xf>
    <xf numFmtId="0" fontId="73" fillId="70" borderId="208" xfId="0" applyFont="1" applyFill="1" applyBorder="1" applyAlignment="1">
      <alignment horizontal="center" vertical="center" wrapText="1"/>
    </xf>
    <xf numFmtId="0" fontId="73" fillId="70" borderId="64" xfId="0" applyFont="1" applyFill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22" fillId="0" borderId="39" xfId="0" applyFont="1" applyBorder="1" applyAlignment="1">
      <alignment vertical="center"/>
    </xf>
    <xf numFmtId="0" fontId="48" fillId="47" borderId="52" xfId="0" applyFont="1" applyFill="1" applyBorder="1"/>
    <xf numFmtId="0" fontId="63" fillId="63" borderId="21" xfId="0" applyFont="1" applyFill="1" applyBorder="1" applyAlignment="1">
      <alignment horizontal="center" vertical="center"/>
    </xf>
    <xf numFmtId="0" fontId="63" fillId="63" borderId="36" xfId="0" applyFont="1" applyFill="1" applyBorder="1" applyAlignment="1">
      <alignment horizontal="center" vertical="center"/>
    </xf>
    <xf numFmtId="0" fontId="5" fillId="0" borderId="113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84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8" borderId="42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1" fillId="8" borderId="51" xfId="0" applyFont="1" applyFill="1" applyBorder="1" applyAlignment="1">
      <alignment horizontal="center" vertical="center"/>
    </xf>
    <xf numFmtId="0" fontId="1" fillId="8" borderId="88" xfId="0" applyFont="1" applyFill="1" applyBorder="1" applyAlignment="1">
      <alignment horizontal="center" vertical="center"/>
    </xf>
    <xf numFmtId="0" fontId="51" fillId="0" borderId="21" xfId="0" applyFont="1" applyBorder="1" applyAlignment="1">
      <alignment horizontal="right" vertical="center" wrapText="1"/>
    </xf>
    <xf numFmtId="0" fontId="8" fillId="0" borderId="102" xfId="0" applyFont="1" applyBorder="1" applyAlignment="1">
      <alignment horizontal="center" vertical="center" wrapText="1"/>
    </xf>
    <xf numFmtId="0" fontId="8" fillId="0" borderId="104" xfId="0" applyFont="1" applyBorder="1" applyAlignment="1">
      <alignment horizontal="center" vertical="center" wrapText="1"/>
    </xf>
    <xf numFmtId="0" fontId="8" fillId="0" borderId="107" xfId="0" applyFont="1" applyBorder="1" applyAlignment="1">
      <alignment horizontal="center" vertical="center" wrapText="1"/>
    </xf>
    <xf numFmtId="0" fontId="8" fillId="0" borderId="84" xfId="0" applyFont="1" applyBorder="1" applyAlignment="1">
      <alignment horizontal="center" vertical="center" wrapText="1"/>
    </xf>
    <xf numFmtId="0" fontId="8" fillId="0" borderId="105" xfId="0" applyFont="1" applyBorder="1" applyAlignment="1">
      <alignment horizontal="center" vertical="center" wrapText="1"/>
    </xf>
    <xf numFmtId="0" fontId="8" fillId="0" borderId="103" xfId="0" applyFont="1" applyBorder="1" applyAlignment="1">
      <alignment horizontal="center" vertical="center" wrapText="1"/>
    </xf>
    <xf numFmtId="0" fontId="8" fillId="0" borderId="77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54" fillId="0" borderId="176" xfId="0" applyFont="1" applyBorder="1" applyAlignment="1">
      <alignment horizontal="center" vertical="center" wrapText="1"/>
    </xf>
    <xf numFmtId="0" fontId="54" fillId="0" borderId="195" xfId="0" applyFont="1" applyBorder="1" applyAlignment="1">
      <alignment horizontal="center" vertical="center" wrapText="1"/>
    </xf>
    <xf numFmtId="0" fontId="58" fillId="60" borderId="229" xfId="0" applyFont="1" applyFill="1" applyBorder="1" applyAlignment="1">
      <alignment horizontal="center" vertical="center" wrapText="1"/>
    </xf>
    <xf numFmtId="0" fontId="58" fillId="60" borderId="151" xfId="0" applyFont="1" applyFill="1" applyBorder="1" applyAlignment="1">
      <alignment horizontal="center" vertical="center" wrapText="1"/>
    </xf>
    <xf numFmtId="20" fontId="58" fillId="60" borderId="229" xfId="0" applyNumberFormat="1" applyFont="1" applyFill="1" applyBorder="1" applyAlignment="1">
      <alignment horizontal="center" vertical="center" wrapText="1"/>
    </xf>
    <xf numFmtId="0" fontId="58" fillId="56" borderId="229" xfId="0" applyFont="1" applyFill="1" applyBorder="1" applyAlignment="1">
      <alignment horizontal="center" vertical="center" wrapText="1"/>
    </xf>
    <xf numFmtId="0" fontId="58" fillId="56" borderId="151" xfId="0" applyFont="1" applyFill="1" applyBorder="1" applyAlignment="1">
      <alignment horizontal="center" vertical="center" wrapText="1"/>
    </xf>
    <xf numFmtId="0" fontId="54" fillId="48" borderId="99" xfId="0" applyFont="1" applyFill="1" applyBorder="1" applyAlignment="1">
      <alignment horizontal="center" vertical="center" wrapText="1"/>
    </xf>
    <xf numFmtId="0" fontId="54" fillId="48" borderId="97" xfId="0" applyFont="1" applyFill="1" applyBorder="1" applyAlignment="1">
      <alignment horizontal="center" vertical="center" wrapText="1"/>
    </xf>
    <xf numFmtId="0" fontId="54" fillId="7" borderId="215" xfId="0" applyFont="1" applyFill="1" applyBorder="1" applyAlignment="1">
      <alignment horizontal="center" vertical="center" wrapText="1"/>
    </xf>
    <xf numFmtId="0" fontId="54" fillId="7" borderId="212" xfId="0" applyFont="1" applyFill="1" applyBorder="1" applyAlignment="1">
      <alignment horizontal="center" vertical="center" wrapText="1"/>
    </xf>
    <xf numFmtId="0" fontId="8" fillId="0" borderId="139" xfId="0" applyFont="1" applyBorder="1" applyAlignment="1">
      <alignment horizontal="center" vertical="center" wrapText="1"/>
    </xf>
    <xf numFmtId="0" fontId="8" fillId="0" borderId="99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20" fontId="8" fillId="79" borderId="30" xfId="0" applyNumberFormat="1" applyFont="1" applyFill="1" applyBorder="1" applyAlignment="1">
      <alignment horizontal="center" vertical="center" wrapText="1"/>
    </xf>
    <xf numFmtId="20" fontId="8" fillId="79" borderId="21" xfId="0" applyNumberFormat="1" applyFont="1" applyFill="1" applyBorder="1" applyAlignment="1">
      <alignment horizontal="center" vertical="center" wrapText="1"/>
    </xf>
    <xf numFmtId="20" fontId="8" fillId="79" borderId="31" xfId="0" applyNumberFormat="1" applyFont="1" applyFill="1" applyBorder="1" applyAlignment="1">
      <alignment horizontal="center" vertical="center" wrapText="1"/>
    </xf>
    <xf numFmtId="20" fontId="8" fillId="79" borderId="32" xfId="0" applyNumberFormat="1" applyFont="1" applyFill="1" applyBorder="1" applyAlignment="1">
      <alignment horizontal="center" vertical="center" wrapText="1"/>
    </xf>
    <xf numFmtId="20" fontId="8" fillId="79" borderId="33" xfId="0" applyNumberFormat="1" applyFont="1" applyFill="1" applyBorder="1" applyAlignment="1">
      <alignment horizontal="center" vertical="center" wrapText="1"/>
    </xf>
    <xf numFmtId="20" fontId="8" fillId="79" borderId="34" xfId="0" applyNumberFormat="1" applyFont="1" applyFill="1" applyBorder="1" applyAlignment="1">
      <alignment horizontal="center" vertical="center" wrapText="1"/>
    </xf>
    <xf numFmtId="20" fontId="8" fillId="79" borderId="0" xfId="0" applyNumberFormat="1" applyFont="1" applyFill="1" applyAlignment="1">
      <alignment horizontal="center" vertical="center" wrapText="1"/>
    </xf>
    <xf numFmtId="0" fontId="8" fillId="0" borderId="95" xfId="0" applyFont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 wrapText="1"/>
    </xf>
    <xf numFmtId="0" fontId="8" fillId="0" borderId="97" xfId="0" applyFont="1" applyBorder="1" applyAlignment="1">
      <alignment horizontal="center" vertical="center" wrapText="1"/>
    </xf>
    <xf numFmtId="0" fontId="79" fillId="70" borderId="198" xfId="0" applyFont="1" applyFill="1" applyBorder="1" applyAlignment="1">
      <alignment horizontal="center" vertical="center"/>
    </xf>
    <xf numFmtId="0" fontId="79" fillId="70" borderId="233" xfId="0" applyFont="1" applyFill="1" applyBorder="1" applyAlignment="1">
      <alignment horizontal="center" vertical="center"/>
    </xf>
    <xf numFmtId="0" fontId="79" fillId="70" borderId="27" xfId="0" applyFont="1" applyFill="1" applyBorder="1" applyAlignment="1">
      <alignment horizontal="center" vertical="center"/>
    </xf>
    <xf numFmtId="0" fontId="79" fillId="70" borderId="29" xfId="0" applyFont="1" applyFill="1" applyBorder="1" applyAlignment="1">
      <alignment horizontal="center" vertical="center"/>
    </xf>
    <xf numFmtId="0" fontId="14" fillId="52" borderId="232" xfId="0" applyFont="1" applyFill="1" applyBorder="1" applyAlignment="1">
      <alignment horizontal="center" vertical="center"/>
    </xf>
    <xf numFmtId="0" fontId="14" fillId="52" borderId="198" xfId="0" applyFont="1" applyFill="1" applyBorder="1" applyAlignment="1">
      <alignment horizontal="center" vertical="center"/>
    </xf>
    <xf numFmtId="0" fontId="14" fillId="52" borderId="28" xfId="0" applyFont="1" applyFill="1" applyBorder="1" applyAlignment="1">
      <alignment horizontal="center" vertical="center"/>
    </xf>
    <xf numFmtId="0" fontId="14" fillId="79" borderId="198" xfId="0" applyFont="1" applyFill="1" applyBorder="1" applyAlignment="1">
      <alignment horizontal="center" vertical="center" wrapText="1"/>
    </xf>
    <xf numFmtId="0" fontId="14" fillId="79" borderId="214" xfId="0" applyFont="1" applyFill="1" applyBorder="1" applyAlignment="1">
      <alignment horizontal="center" vertical="center" wrapText="1"/>
    </xf>
    <xf numFmtId="20" fontId="8" fillId="0" borderId="139" xfId="0" applyNumberFormat="1" applyFont="1" applyBorder="1" applyAlignment="1">
      <alignment horizontal="center" vertical="center" wrapText="1"/>
    </xf>
    <xf numFmtId="0" fontId="8" fillId="7" borderId="77" xfId="0" applyFont="1" applyFill="1" applyBorder="1" applyAlignment="1">
      <alignment horizontal="center" vertical="center" wrapText="1"/>
    </xf>
    <xf numFmtId="0" fontId="8" fillId="0" borderId="148" xfId="0" applyFont="1" applyBorder="1" applyAlignment="1">
      <alignment horizontal="center" vertical="center" wrapText="1"/>
    </xf>
    <xf numFmtId="20" fontId="8" fillId="78" borderId="148" xfId="0" applyNumberFormat="1" applyFont="1" applyFill="1" applyBorder="1" applyAlignment="1">
      <alignment horizontal="center" vertical="center" wrapText="1"/>
    </xf>
    <xf numFmtId="0" fontId="8" fillId="78" borderId="99" xfId="0" applyFont="1" applyFill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center" vertical="center" wrapText="1"/>
    </xf>
    <xf numFmtId="20" fontId="8" fillId="78" borderId="215" xfId="0" applyNumberFormat="1" applyFont="1" applyFill="1" applyBorder="1" applyAlignment="1">
      <alignment horizontal="center" vertical="center" wrapText="1"/>
    </xf>
    <xf numFmtId="0" fontId="8" fillId="0" borderId="201" xfId="0" applyFont="1" applyBorder="1" applyAlignment="1">
      <alignment horizontal="center" vertical="center" wrapText="1"/>
    </xf>
    <xf numFmtId="0" fontId="8" fillId="0" borderId="158" xfId="0" applyFont="1" applyBorder="1" applyAlignment="1">
      <alignment horizontal="center" vertical="center" wrapText="1"/>
    </xf>
    <xf numFmtId="20" fontId="8" fillId="76" borderId="139" xfId="0" applyNumberFormat="1" applyFont="1" applyFill="1" applyBorder="1" applyAlignment="1">
      <alignment horizontal="center" vertical="center" wrapText="1"/>
    </xf>
    <xf numFmtId="0" fontId="8" fillId="76" borderId="99" xfId="0" applyFont="1" applyFill="1" applyBorder="1" applyAlignment="1">
      <alignment horizontal="center" vertical="center" wrapText="1"/>
    </xf>
    <xf numFmtId="0" fontId="78" fillId="70" borderId="198" xfId="0" applyFont="1" applyFill="1" applyBorder="1" applyAlignment="1">
      <alignment horizontal="center" vertical="center"/>
    </xf>
    <xf numFmtId="0" fontId="78" fillId="70" borderId="232" xfId="0" applyFont="1" applyFill="1" applyBorder="1" applyAlignment="1">
      <alignment horizontal="center" vertical="center"/>
    </xf>
    <xf numFmtId="0" fontId="78" fillId="70" borderId="214" xfId="0" applyFont="1" applyFill="1" applyBorder="1" applyAlignment="1">
      <alignment horizontal="center" vertical="center"/>
    </xf>
    <xf numFmtId="20" fontId="8" fillId="78" borderId="139" xfId="0" applyNumberFormat="1" applyFont="1" applyFill="1" applyBorder="1" applyAlignment="1">
      <alignment horizontal="center" vertical="center" wrapText="1"/>
    </xf>
    <xf numFmtId="0" fontId="8" fillId="0" borderId="106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115" xfId="0" applyFont="1" applyBorder="1" applyAlignment="1">
      <alignment horizontal="center" vertical="center" wrapText="1"/>
    </xf>
    <xf numFmtId="0" fontId="14" fillId="78" borderId="198" xfId="0" applyFont="1" applyFill="1" applyBorder="1" applyAlignment="1">
      <alignment horizontal="center" vertical="center" wrapText="1"/>
    </xf>
    <xf numFmtId="0" fontId="14" fillId="78" borderId="232" xfId="0" applyFont="1" applyFill="1" applyBorder="1" applyAlignment="1">
      <alignment horizontal="center" vertical="center" wrapText="1"/>
    </xf>
    <xf numFmtId="0" fontId="14" fillId="78" borderId="233" xfId="0" applyFont="1" applyFill="1" applyBorder="1" applyAlignment="1">
      <alignment horizontal="center" vertical="center" wrapText="1"/>
    </xf>
    <xf numFmtId="0" fontId="14" fillId="78" borderId="198" xfId="0" applyFont="1" applyFill="1" applyBorder="1" applyAlignment="1">
      <alignment horizontal="center" vertical="center"/>
    </xf>
    <xf numFmtId="0" fontId="14" fillId="78" borderId="214" xfId="0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 wrapText="1"/>
    </xf>
    <xf numFmtId="0" fontId="58" fillId="59" borderId="229" xfId="0" applyFont="1" applyFill="1" applyBorder="1" applyAlignment="1">
      <alignment horizontal="center" vertical="center" wrapText="1"/>
    </xf>
    <xf numFmtId="0" fontId="58" fillId="59" borderId="151" xfId="0" applyFont="1" applyFill="1" applyBorder="1" applyAlignment="1">
      <alignment horizontal="center" vertical="center" wrapText="1"/>
    </xf>
    <xf numFmtId="0" fontId="58" fillId="57" borderId="229" xfId="0" applyFont="1" applyFill="1" applyBorder="1" applyAlignment="1">
      <alignment horizontal="center" vertical="center" wrapText="1"/>
    </xf>
    <xf numFmtId="0" fontId="58" fillId="57" borderId="151" xfId="0" applyFont="1" applyFill="1" applyBorder="1" applyAlignment="1">
      <alignment horizontal="center" vertical="center" wrapText="1"/>
    </xf>
    <xf numFmtId="0" fontId="58" fillId="54" borderId="229" xfId="0" applyFont="1" applyFill="1" applyBorder="1" applyAlignment="1">
      <alignment horizontal="center" vertical="center" wrapText="1"/>
    </xf>
    <xf numFmtId="0" fontId="58" fillId="54" borderId="151" xfId="0" applyFont="1" applyFill="1" applyBorder="1" applyAlignment="1">
      <alignment horizontal="center" vertical="center" wrapText="1"/>
    </xf>
    <xf numFmtId="0" fontId="58" fillId="0" borderId="229" xfId="0" applyFont="1" applyBorder="1" applyAlignment="1">
      <alignment horizontal="center" vertical="center" wrapText="1"/>
    </xf>
    <xf numFmtId="0" fontId="58" fillId="0" borderId="151" xfId="0" applyFont="1" applyBorder="1" applyAlignment="1">
      <alignment horizontal="center" vertical="center" wrapText="1"/>
    </xf>
    <xf numFmtId="20" fontId="58" fillId="61" borderId="229" xfId="0" applyNumberFormat="1" applyFont="1" applyFill="1" applyBorder="1" applyAlignment="1">
      <alignment horizontal="center" vertical="center" wrapText="1"/>
    </xf>
    <xf numFmtId="0" fontId="58" fillId="61" borderId="151" xfId="0" applyFont="1" applyFill="1" applyBorder="1" applyAlignment="1">
      <alignment horizontal="center" vertical="center" wrapText="1"/>
    </xf>
    <xf numFmtId="20" fontId="58" fillId="7" borderId="229" xfId="0" applyNumberFormat="1" applyFont="1" applyFill="1" applyBorder="1" applyAlignment="1">
      <alignment horizontal="center" vertical="center" wrapText="1"/>
    </xf>
    <xf numFmtId="0" fontId="58" fillId="7" borderId="151" xfId="0" applyFont="1" applyFill="1" applyBorder="1" applyAlignment="1">
      <alignment horizontal="center" vertical="center" wrapText="1"/>
    </xf>
    <xf numFmtId="20" fontId="58" fillId="52" borderId="229" xfId="0" applyNumberFormat="1" applyFont="1" applyFill="1" applyBorder="1" applyAlignment="1">
      <alignment horizontal="center" vertical="center" wrapText="1"/>
    </xf>
    <xf numFmtId="0" fontId="58" fillId="52" borderId="151" xfId="0" applyFont="1" applyFill="1" applyBorder="1" applyAlignment="1">
      <alignment horizontal="center" vertical="center" wrapText="1"/>
    </xf>
    <xf numFmtId="0" fontId="61" fillId="70" borderId="198" xfId="0" applyFont="1" applyFill="1" applyBorder="1" applyAlignment="1">
      <alignment horizontal="center" vertical="center"/>
    </xf>
    <xf numFmtId="0" fontId="61" fillId="70" borderId="233" xfId="0" applyFont="1" applyFill="1" applyBorder="1" applyAlignment="1">
      <alignment horizontal="center" vertical="center"/>
    </xf>
    <xf numFmtId="0" fontId="58" fillId="52" borderId="220" xfId="0" applyFont="1" applyFill="1" applyBorder="1" applyAlignment="1">
      <alignment horizontal="center" vertical="center" wrapText="1"/>
    </xf>
    <xf numFmtId="0" fontId="58" fillId="52" borderId="195" xfId="0" applyFont="1" applyFill="1" applyBorder="1" applyAlignment="1">
      <alignment horizontal="center" vertical="center" wrapText="1"/>
    </xf>
    <xf numFmtId="20" fontId="58" fillId="52" borderId="220" xfId="0" applyNumberFormat="1" applyFont="1" applyFill="1" applyBorder="1" applyAlignment="1">
      <alignment horizontal="center" vertical="center" wrapText="1"/>
    </xf>
    <xf numFmtId="20" fontId="58" fillId="52" borderId="195" xfId="0" applyNumberFormat="1" applyFont="1" applyFill="1" applyBorder="1" applyAlignment="1">
      <alignment horizontal="center" vertical="center" wrapText="1"/>
    </xf>
    <xf numFmtId="20" fontId="58" fillId="61" borderId="220" xfId="0" applyNumberFormat="1" applyFont="1" applyFill="1" applyBorder="1" applyAlignment="1">
      <alignment horizontal="center" vertical="center" wrapText="1"/>
    </xf>
    <xf numFmtId="0" fontId="58" fillId="61" borderId="195" xfId="0" applyFont="1" applyFill="1" applyBorder="1" applyAlignment="1">
      <alignment horizontal="center" vertical="center" wrapText="1"/>
    </xf>
    <xf numFmtId="20" fontId="58" fillId="62" borderId="229" xfId="0" applyNumberFormat="1" applyFont="1" applyFill="1" applyBorder="1" applyAlignment="1">
      <alignment horizontal="center" vertical="center" wrapText="1"/>
    </xf>
    <xf numFmtId="0" fontId="58" fillId="62" borderId="151" xfId="0" applyFont="1" applyFill="1" applyBorder="1" applyAlignment="1">
      <alignment horizontal="center" vertical="center" wrapText="1"/>
    </xf>
    <xf numFmtId="0" fontId="54" fillId="0" borderId="218" xfId="0" applyFont="1" applyBorder="1" applyAlignment="1">
      <alignment horizontal="center" vertical="center" wrapText="1"/>
    </xf>
    <xf numFmtId="0" fontId="54" fillId="0" borderId="217" xfId="0" applyFont="1" applyBorder="1" applyAlignment="1">
      <alignment horizontal="center" vertical="center" wrapText="1"/>
    </xf>
    <xf numFmtId="0" fontId="58" fillId="74" borderId="229" xfId="0" applyFont="1" applyFill="1" applyBorder="1" applyAlignment="1">
      <alignment horizontal="center" vertical="center" wrapText="1"/>
    </xf>
    <xf numFmtId="0" fontId="58" fillId="74" borderId="151" xfId="0" applyFont="1" applyFill="1" applyBorder="1" applyAlignment="1">
      <alignment horizontal="center" vertical="center" wrapText="1"/>
    </xf>
    <xf numFmtId="0" fontId="54" fillId="0" borderId="220" xfId="0" applyFont="1" applyBorder="1" applyAlignment="1">
      <alignment horizontal="center" vertical="center" wrapText="1"/>
    </xf>
    <xf numFmtId="0" fontId="58" fillId="61" borderId="229" xfId="0" applyFont="1" applyFill="1" applyBorder="1" applyAlignment="1">
      <alignment horizontal="center" vertical="center" wrapText="1"/>
    </xf>
    <xf numFmtId="0" fontId="55" fillId="74" borderId="218" xfId="0" applyFont="1" applyFill="1" applyBorder="1" applyAlignment="1">
      <alignment horizontal="center" vertical="center" wrapText="1"/>
    </xf>
    <xf numFmtId="0" fontId="55" fillId="74" borderId="217" xfId="0" applyFont="1" applyFill="1" applyBorder="1" applyAlignment="1">
      <alignment horizontal="center" vertical="center" wrapText="1"/>
    </xf>
    <xf numFmtId="0" fontId="58" fillId="52" borderId="229" xfId="0" applyFont="1" applyFill="1" applyBorder="1" applyAlignment="1">
      <alignment horizontal="center" vertical="center" wrapText="1"/>
    </xf>
    <xf numFmtId="0" fontId="54" fillId="48" borderId="215" xfId="0" applyFont="1" applyFill="1" applyBorder="1" applyAlignment="1">
      <alignment horizontal="center" vertical="center" wrapText="1"/>
    </xf>
    <xf numFmtId="0" fontId="54" fillId="48" borderId="212" xfId="0" applyFont="1" applyFill="1" applyBorder="1" applyAlignment="1">
      <alignment horizontal="center" vertical="center" wrapText="1"/>
    </xf>
    <xf numFmtId="0" fontId="54" fillId="48" borderId="148" xfId="0" applyFont="1" applyFill="1" applyBorder="1" applyAlignment="1">
      <alignment horizontal="center" vertical="center" wrapText="1"/>
    </xf>
    <xf numFmtId="0" fontId="58" fillId="62" borderId="229" xfId="0" applyFont="1" applyFill="1" applyBorder="1" applyAlignment="1">
      <alignment horizontal="center" vertical="center" wrapText="1"/>
    </xf>
    <xf numFmtId="20" fontId="58" fillId="74" borderId="229" xfId="0" applyNumberFormat="1" applyFont="1" applyFill="1" applyBorder="1" applyAlignment="1">
      <alignment horizontal="center" vertical="center" wrapText="1"/>
    </xf>
    <xf numFmtId="0" fontId="58" fillId="73" borderId="229" xfId="0" applyFont="1" applyFill="1" applyBorder="1" applyAlignment="1">
      <alignment horizontal="center" vertical="center" wrapText="1"/>
    </xf>
    <xf numFmtId="0" fontId="58" fillId="73" borderId="151" xfId="0" applyFont="1" applyFill="1" applyBorder="1" applyAlignment="1">
      <alignment horizontal="center" vertical="center" wrapText="1"/>
    </xf>
    <xf numFmtId="0" fontId="58" fillId="58" borderId="229" xfId="0" applyFont="1" applyFill="1" applyBorder="1" applyAlignment="1">
      <alignment horizontal="center" vertical="center" wrapText="1"/>
    </xf>
    <xf numFmtId="0" fontId="58" fillId="58" borderId="151" xfId="0" applyFont="1" applyFill="1" applyBorder="1" applyAlignment="1">
      <alignment horizontal="center" vertical="center" wrapText="1"/>
    </xf>
    <xf numFmtId="20" fontId="55" fillId="7" borderId="218" xfId="0" applyNumberFormat="1" applyFont="1" applyFill="1" applyBorder="1" applyAlignment="1">
      <alignment horizontal="center" vertical="center" wrapText="1"/>
    </xf>
    <xf numFmtId="0" fontId="55" fillId="7" borderId="217" xfId="0" applyFont="1" applyFill="1" applyBorder="1" applyAlignment="1">
      <alignment horizontal="center" vertical="center" wrapText="1"/>
    </xf>
    <xf numFmtId="0" fontId="54" fillId="48" borderId="60" xfId="0" applyFont="1" applyFill="1" applyBorder="1" applyAlignment="1">
      <alignment horizontal="center" vertical="center" wrapText="1"/>
    </xf>
    <xf numFmtId="0" fontId="55" fillId="59" borderId="95" xfId="0" applyFont="1" applyFill="1" applyBorder="1" applyAlignment="1">
      <alignment horizontal="center" vertical="center" wrapText="1"/>
    </xf>
    <xf numFmtId="0" fontId="55" fillId="59" borderId="96" xfId="0" applyFont="1" applyFill="1" applyBorder="1" applyAlignment="1">
      <alignment horizontal="center" vertical="center" wrapText="1"/>
    </xf>
    <xf numFmtId="0" fontId="58" fillId="55" borderId="229" xfId="0" applyFont="1" applyFill="1" applyBorder="1" applyAlignment="1">
      <alignment horizontal="center" vertical="center" wrapText="1"/>
    </xf>
    <xf numFmtId="0" fontId="58" fillId="55" borderId="151" xfId="0" applyFont="1" applyFill="1" applyBorder="1" applyAlignment="1">
      <alignment horizontal="center" vertical="center" wrapText="1"/>
    </xf>
    <xf numFmtId="0" fontId="54" fillId="0" borderId="216" xfId="0" applyFont="1" applyBorder="1" applyAlignment="1">
      <alignment horizontal="center" vertical="center" wrapText="1"/>
    </xf>
    <xf numFmtId="0" fontId="54" fillId="7" borderId="148" xfId="0" applyFont="1" applyFill="1" applyBorder="1" applyAlignment="1">
      <alignment horizontal="center" vertical="center" wrapText="1"/>
    </xf>
    <xf numFmtId="20" fontId="55" fillId="74" borderId="84" xfId="0" applyNumberFormat="1" applyFont="1" applyFill="1" applyBorder="1" applyAlignment="1">
      <alignment horizontal="center" vertical="center" wrapText="1"/>
    </xf>
    <xf numFmtId="0" fontId="55" fillId="74" borderId="125" xfId="0" applyFont="1" applyFill="1" applyBorder="1" applyAlignment="1">
      <alignment horizontal="center" vertical="center" wrapText="1"/>
    </xf>
    <xf numFmtId="0" fontId="58" fillId="61" borderId="220" xfId="0" applyFont="1" applyFill="1" applyBorder="1" applyAlignment="1">
      <alignment horizontal="center" vertical="center" wrapText="1"/>
    </xf>
    <xf numFmtId="0" fontId="61" fillId="63" borderId="0" xfId="0" applyFont="1" applyFill="1" applyAlignment="1">
      <alignment horizontal="center" vertical="center"/>
    </xf>
    <xf numFmtId="0" fontId="68" fillId="70" borderId="231" xfId="0" applyFont="1" applyFill="1" applyBorder="1" applyAlignment="1">
      <alignment horizontal="center" vertical="center"/>
    </xf>
    <xf numFmtId="0" fontId="68" fillId="70" borderId="232" xfId="0" applyFont="1" applyFill="1" applyBorder="1" applyAlignment="1">
      <alignment horizontal="center" vertical="center"/>
    </xf>
    <xf numFmtId="0" fontId="69" fillId="70" borderId="232" xfId="0" applyFont="1" applyFill="1" applyBorder="1" applyAlignment="1">
      <alignment horizontal="center" vertical="center" wrapText="1"/>
    </xf>
    <xf numFmtId="0" fontId="69" fillId="70" borderId="214" xfId="0" applyFont="1" applyFill="1" applyBorder="1" applyAlignment="1">
      <alignment horizontal="center" vertical="center" wrapText="1"/>
    </xf>
    <xf numFmtId="0" fontId="6" fillId="48" borderId="27" xfId="0" applyFont="1" applyFill="1" applyBorder="1" applyAlignment="1">
      <alignment horizontal="center" vertical="center"/>
    </xf>
    <xf numFmtId="0" fontId="6" fillId="48" borderId="28" xfId="0" applyFont="1" applyFill="1" applyBorder="1" applyAlignment="1">
      <alignment horizontal="center" vertical="center"/>
    </xf>
    <xf numFmtId="0" fontId="6" fillId="48" borderId="32" xfId="0" applyFont="1" applyFill="1" applyBorder="1" applyAlignment="1">
      <alignment horizontal="center" vertical="center"/>
    </xf>
    <xf numFmtId="0" fontId="6" fillId="48" borderId="33" xfId="0" applyFont="1" applyFill="1" applyBorder="1" applyAlignment="1">
      <alignment horizontal="center" vertical="center"/>
    </xf>
    <xf numFmtId="0" fontId="26" fillId="48" borderId="28" xfId="0" applyFont="1" applyFill="1" applyBorder="1" applyAlignment="1">
      <alignment horizontal="center"/>
    </xf>
    <xf numFmtId="0" fontId="26" fillId="48" borderId="29" xfId="0" applyFont="1" applyFill="1" applyBorder="1" applyAlignment="1">
      <alignment horizontal="center"/>
    </xf>
    <xf numFmtId="0" fontId="26" fillId="48" borderId="33" xfId="0" applyFont="1" applyFill="1" applyBorder="1" applyAlignment="1">
      <alignment horizontal="center"/>
    </xf>
    <xf numFmtId="0" fontId="26" fillId="48" borderId="34" xfId="0" applyFont="1" applyFill="1" applyBorder="1" applyAlignment="1">
      <alignment horizontal="center"/>
    </xf>
    <xf numFmtId="0" fontId="8" fillId="0" borderId="61" xfId="0" applyFont="1" applyBorder="1" applyAlignment="1">
      <alignment horizontal="center" vertical="center" wrapText="1"/>
    </xf>
    <xf numFmtId="0" fontId="8" fillId="0" borderId="65" xfId="0" applyFont="1" applyBorder="1" applyAlignment="1">
      <alignment horizontal="center" vertical="center" wrapText="1"/>
    </xf>
    <xf numFmtId="0" fontId="8" fillId="0" borderId="199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113" xfId="0" applyFont="1" applyBorder="1" applyAlignment="1">
      <alignment horizontal="center" vertical="center" wrapText="1"/>
    </xf>
    <xf numFmtId="0" fontId="8" fillId="76" borderId="95" xfId="0" applyFont="1" applyFill="1" applyBorder="1" applyAlignment="1">
      <alignment horizontal="center" vertical="center" wrapText="1"/>
    </xf>
    <xf numFmtId="0" fontId="8" fillId="76" borderId="77" xfId="0" applyFont="1" applyFill="1" applyBorder="1" applyAlignment="1">
      <alignment horizontal="center" vertical="center" wrapText="1"/>
    </xf>
    <xf numFmtId="0" fontId="8" fillId="77" borderId="237" xfId="0" applyFont="1" applyFill="1" applyBorder="1" applyAlignment="1">
      <alignment horizontal="center" vertical="center" wrapText="1"/>
    </xf>
    <xf numFmtId="0" fontId="8" fillId="77" borderId="95" xfId="0" applyFont="1" applyFill="1" applyBorder="1" applyAlignment="1">
      <alignment horizontal="center" vertical="center" wrapText="1"/>
    </xf>
    <xf numFmtId="0" fontId="8" fillId="78" borderId="237" xfId="0" applyFont="1" applyFill="1" applyBorder="1" applyAlignment="1">
      <alignment horizontal="center" vertical="center" wrapText="1"/>
    </xf>
    <xf numFmtId="0" fontId="8" fillId="78" borderId="95" xfId="0" applyFont="1" applyFill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251" xfId="0" applyFont="1" applyBorder="1" applyAlignment="1">
      <alignment horizontal="center" vertical="center" wrapText="1"/>
    </xf>
    <xf numFmtId="0" fontId="8" fillId="0" borderId="20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23" xfId="0" applyFont="1" applyBorder="1" applyAlignment="1">
      <alignment horizontal="center" vertical="center" wrapText="1"/>
    </xf>
    <xf numFmtId="0" fontId="8" fillId="0" borderId="125" xfId="0" applyFont="1" applyBorder="1" applyAlignment="1">
      <alignment horizontal="center" vertical="center" wrapText="1"/>
    </xf>
    <xf numFmtId="0" fontId="8" fillId="0" borderId="62" xfId="0" applyFont="1" applyBorder="1" applyAlignment="1">
      <alignment horizontal="center" vertical="center" wrapText="1"/>
    </xf>
    <xf numFmtId="20" fontId="8" fillId="78" borderId="30" xfId="0" applyNumberFormat="1" applyFont="1" applyFill="1" applyBorder="1" applyAlignment="1">
      <alignment horizontal="center" vertical="center" wrapText="1"/>
    </xf>
    <xf numFmtId="20" fontId="8" fillId="78" borderId="21" xfId="0" applyNumberFormat="1" applyFont="1" applyFill="1" applyBorder="1" applyAlignment="1">
      <alignment horizontal="center" vertical="center" wrapText="1"/>
    </xf>
    <xf numFmtId="20" fontId="8" fillId="78" borderId="31" xfId="0" applyNumberFormat="1" applyFont="1" applyFill="1" applyBorder="1" applyAlignment="1">
      <alignment horizontal="center" vertical="center" wrapText="1"/>
    </xf>
    <xf numFmtId="20" fontId="8" fillId="78" borderId="32" xfId="0" applyNumberFormat="1" applyFont="1" applyFill="1" applyBorder="1" applyAlignment="1">
      <alignment horizontal="center" vertical="center" wrapText="1"/>
    </xf>
    <xf numFmtId="20" fontId="8" fillId="78" borderId="33" xfId="0" applyNumberFormat="1" applyFont="1" applyFill="1" applyBorder="1" applyAlignment="1">
      <alignment horizontal="center" vertical="center" wrapText="1"/>
    </xf>
    <xf numFmtId="20" fontId="8" fillId="78" borderId="34" xfId="0" applyNumberFormat="1" applyFont="1" applyFill="1" applyBorder="1" applyAlignment="1">
      <alignment horizontal="center" vertical="center" wrapText="1"/>
    </xf>
    <xf numFmtId="0" fontId="73" fillId="70" borderId="195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right" vertical="center" wrapText="1"/>
    </xf>
    <xf numFmtId="0" fontId="8" fillId="0" borderId="31" xfId="0" applyFont="1" applyBorder="1" applyAlignment="1">
      <alignment horizontal="right" vertical="center" wrapText="1"/>
    </xf>
    <xf numFmtId="0" fontId="8" fillId="0" borderId="79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51" xfId="0" applyFont="1" applyBorder="1" applyAlignment="1">
      <alignment horizontal="center" vertical="center" wrapText="1"/>
    </xf>
    <xf numFmtId="20" fontId="8" fillId="61" borderId="139" xfId="0" applyNumberFormat="1" applyFont="1" applyFill="1" applyBorder="1" applyAlignment="1">
      <alignment horizontal="center" vertical="center" wrapText="1"/>
    </xf>
    <xf numFmtId="0" fontId="8" fillId="61" borderId="148" xfId="0" applyFont="1" applyFill="1" applyBorder="1" applyAlignment="1">
      <alignment horizontal="center" vertical="center" wrapText="1"/>
    </xf>
    <xf numFmtId="0" fontId="8" fillId="7" borderId="75" xfId="0" applyFont="1" applyFill="1" applyBorder="1" applyAlignment="1">
      <alignment horizontal="center" vertical="center" wrapText="1"/>
    </xf>
    <xf numFmtId="0" fontId="8" fillId="61" borderId="99" xfId="0" applyFont="1" applyFill="1" applyBorder="1" applyAlignment="1">
      <alignment horizontal="center" vertical="center" wrapText="1"/>
    </xf>
    <xf numFmtId="0" fontId="8" fillId="0" borderId="229" xfId="0" applyFont="1" applyBorder="1" applyAlignment="1">
      <alignment horizontal="center" vertical="center" wrapText="1"/>
    </xf>
    <xf numFmtId="0" fontId="8" fillId="0" borderId="237" xfId="0" applyFont="1" applyBorder="1" applyAlignment="1">
      <alignment horizontal="center" vertical="center" wrapText="1"/>
    </xf>
    <xf numFmtId="0" fontId="8" fillId="7" borderId="104" xfId="0" applyFont="1" applyFill="1" applyBorder="1" applyAlignment="1">
      <alignment horizontal="center" vertical="center" wrapText="1"/>
    </xf>
    <xf numFmtId="0" fontId="8" fillId="7" borderId="84" xfId="0" applyFont="1" applyFill="1" applyBorder="1" applyAlignment="1">
      <alignment horizontal="center" vertical="center" wrapText="1"/>
    </xf>
    <xf numFmtId="20" fontId="8" fillId="7" borderId="139" xfId="0" applyNumberFormat="1" applyFont="1" applyFill="1" applyBorder="1" applyAlignment="1">
      <alignment horizontal="center" vertical="center" wrapText="1"/>
    </xf>
    <xf numFmtId="0" fontId="8" fillId="7" borderId="99" xfId="0" applyFont="1" applyFill="1" applyBorder="1" applyAlignment="1">
      <alignment horizontal="center" vertical="center" wrapText="1"/>
    </xf>
    <xf numFmtId="0" fontId="8" fillId="0" borderId="141" xfId="0" applyFont="1" applyBorder="1" applyAlignment="1">
      <alignment horizontal="center" vertical="center" wrapText="1"/>
    </xf>
    <xf numFmtId="0" fontId="8" fillId="0" borderId="250" xfId="0" applyFont="1" applyBorder="1" applyAlignment="1">
      <alignment horizontal="center" vertical="center" wrapText="1"/>
    </xf>
    <xf numFmtId="20" fontId="8" fillId="52" borderId="30" xfId="0" applyNumberFormat="1" applyFont="1" applyFill="1" applyBorder="1" applyAlignment="1">
      <alignment horizontal="center" vertical="center" wrapText="1"/>
    </xf>
    <xf numFmtId="20" fontId="8" fillId="52" borderId="21" xfId="0" applyNumberFormat="1" applyFont="1" applyFill="1" applyBorder="1" applyAlignment="1">
      <alignment horizontal="center" vertical="center" wrapText="1"/>
    </xf>
    <xf numFmtId="20" fontId="8" fillId="52" borderId="31" xfId="0" applyNumberFormat="1" applyFont="1" applyFill="1" applyBorder="1" applyAlignment="1">
      <alignment horizontal="center" vertical="center" wrapText="1"/>
    </xf>
    <xf numFmtId="20" fontId="8" fillId="52" borderId="32" xfId="0" applyNumberFormat="1" applyFont="1" applyFill="1" applyBorder="1" applyAlignment="1">
      <alignment horizontal="center" vertical="center" wrapText="1"/>
    </xf>
    <xf numFmtId="20" fontId="8" fillId="52" borderId="33" xfId="0" applyNumberFormat="1" applyFont="1" applyFill="1" applyBorder="1" applyAlignment="1">
      <alignment horizontal="center" vertical="center" wrapText="1"/>
    </xf>
    <xf numFmtId="20" fontId="8" fillId="52" borderId="34" xfId="0" applyNumberFormat="1" applyFont="1" applyFill="1" applyBorder="1" applyAlignment="1">
      <alignment horizontal="center" vertical="center" wrapText="1"/>
    </xf>
    <xf numFmtId="20" fontId="8" fillId="52" borderId="0" xfId="0" applyNumberFormat="1" applyFont="1" applyFill="1" applyAlignment="1">
      <alignment horizontal="center" vertical="center" wrapText="1"/>
    </xf>
    <xf numFmtId="0" fontId="8" fillId="7" borderId="96" xfId="0" applyFont="1" applyFill="1" applyBorder="1" applyAlignment="1">
      <alignment horizontal="center" vertical="center" wrapText="1"/>
    </xf>
    <xf numFmtId="0" fontId="8" fillId="76" borderId="212" xfId="0" applyFont="1" applyFill="1" applyBorder="1" applyAlignment="1">
      <alignment horizontal="center" vertical="center" wrapText="1"/>
    </xf>
    <xf numFmtId="0" fontId="8" fillId="0" borderId="212" xfId="0" applyFont="1" applyBorder="1" applyAlignment="1">
      <alignment horizontal="center" vertical="center" wrapText="1"/>
    </xf>
    <xf numFmtId="0" fontId="8" fillId="7" borderId="115" xfId="0" applyFont="1" applyFill="1" applyBorder="1" applyAlignment="1">
      <alignment horizontal="center" vertical="center" wrapText="1"/>
    </xf>
    <xf numFmtId="0" fontId="8" fillId="7" borderId="151" xfId="0" applyFont="1" applyFill="1" applyBorder="1" applyAlignment="1">
      <alignment horizontal="center" vertical="center" wrapText="1"/>
    </xf>
    <xf numFmtId="0" fontId="8" fillId="7" borderId="212" xfId="0" applyFont="1" applyFill="1" applyBorder="1" applyAlignment="1">
      <alignment horizontal="center" vertical="center" wrapText="1"/>
    </xf>
    <xf numFmtId="0" fontId="8" fillId="0" borderId="208" xfId="0" applyFont="1" applyBorder="1" applyAlignment="1">
      <alignment horizontal="center" vertical="center" wrapText="1"/>
    </xf>
    <xf numFmtId="0" fontId="8" fillId="0" borderId="144" xfId="0" applyFont="1" applyBorder="1" applyAlignment="1">
      <alignment horizontal="center" vertical="center" wrapText="1"/>
    </xf>
    <xf numFmtId="0" fontId="8" fillId="0" borderId="22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43" fillId="10" borderId="216" xfId="0" applyFont="1" applyFill="1" applyBorder="1" applyAlignment="1">
      <alignment horizontal="left" vertical="center"/>
    </xf>
    <xf numFmtId="0" fontId="43" fillId="10" borderId="228" xfId="0" applyFont="1" applyFill="1" applyBorder="1" applyAlignment="1">
      <alignment horizontal="left" vertical="center"/>
    </xf>
    <xf numFmtId="0" fontId="43" fillId="10" borderId="79" xfId="0" applyFont="1" applyFill="1" applyBorder="1" applyAlignment="1">
      <alignment horizontal="center" vertical="center"/>
    </xf>
    <xf numFmtId="0" fontId="43" fillId="10" borderId="60" xfId="0" applyFont="1" applyFill="1" applyBorder="1" applyAlignment="1">
      <alignment horizontal="center" vertical="center"/>
    </xf>
    <xf numFmtId="0" fontId="43" fillId="10" borderId="61" xfId="0" applyFont="1" applyFill="1" applyBorder="1" applyAlignment="1">
      <alignment horizontal="center" vertical="center"/>
    </xf>
    <xf numFmtId="0" fontId="43" fillId="10" borderId="75" xfId="0" applyFont="1" applyFill="1" applyBorder="1" applyAlignment="1">
      <alignment horizontal="center" vertical="center"/>
    </xf>
    <xf numFmtId="0" fontId="43" fillId="10" borderId="59" xfId="0" applyFont="1" applyFill="1" applyBorder="1" applyAlignment="1">
      <alignment horizontal="center" vertical="center"/>
    </xf>
    <xf numFmtId="0" fontId="43" fillId="10" borderId="65" xfId="0" applyFont="1" applyFill="1" applyBorder="1" applyAlignment="1">
      <alignment horizontal="center" vertical="center"/>
    </xf>
    <xf numFmtId="0" fontId="2" fillId="0" borderId="229" xfId="0" applyFont="1" applyBorder="1" applyAlignment="1">
      <alignment horizontal="left" vertical="center"/>
    </xf>
    <xf numFmtId="0" fontId="2" fillId="0" borderId="95" xfId="0" applyFont="1" applyBorder="1" applyAlignment="1">
      <alignment horizontal="left" vertical="center"/>
    </xf>
    <xf numFmtId="0" fontId="2" fillId="20" borderId="28" xfId="0" applyFont="1" applyFill="1" applyBorder="1" applyAlignment="1">
      <alignment horizontal="center" vertical="center"/>
    </xf>
    <xf numFmtId="0" fontId="2" fillId="20" borderId="29" xfId="0" applyFont="1" applyFill="1" applyBorder="1" applyAlignment="1">
      <alignment horizontal="center" vertical="center"/>
    </xf>
    <xf numFmtId="0" fontId="2" fillId="20" borderId="36" xfId="0" applyFont="1" applyFill="1" applyBorder="1" applyAlignment="1">
      <alignment horizontal="center" vertical="center"/>
    </xf>
    <xf numFmtId="0" fontId="2" fillId="20" borderId="37" xfId="0" applyFont="1" applyFill="1" applyBorder="1" applyAlignment="1">
      <alignment horizontal="center" vertical="center"/>
    </xf>
    <xf numFmtId="0" fontId="43" fillId="10" borderId="217" xfId="0" applyFont="1" applyFill="1" applyBorder="1" applyAlignment="1">
      <alignment horizontal="left" vertical="center"/>
    </xf>
    <xf numFmtId="0" fontId="43" fillId="10" borderId="125" xfId="0" applyFont="1" applyFill="1" applyBorder="1" applyAlignment="1">
      <alignment horizontal="center" vertical="center"/>
    </xf>
    <xf numFmtId="0" fontId="43" fillId="10" borderId="97" xfId="0" applyFont="1" applyFill="1" applyBorder="1" applyAlignment="1">
      <alignment horizontal="center" vertical="center"/>
    </xf>
    <xf numFmtId="0" fontId="43" fillId="10" borderId="62" xfId="0" applyFont="1" applyFill="1" applyBorder="1" applyAlignment="1">
      <alignment horizontal="center" vertical="center"/>
    </xf>
    <xf numFmtId="0" fontId="2" fillId="0" borderId="115" xfId="0" applyFont="1" applyBorder="1" applyAlignment="1">
      <alignment horizontal="left" vertical="center"/>
    </xf>
    <xf numFmtId="0" fontId="2" fillId="26" borderId="106" xfId="0" applyFont="1" applyFill="1" applyBorder="1" applyAlignment="1">
      <alignment horizontal="center" vertical="center"/>
    </xf>
    <xf numFmtId="0" fontId="2" fillId="26" borderId="250" xfId="0" applyFont="1" applyFill="1" applyBorder="1" applyAlignment="1">
      <alignment horizontal="center" vertical="center"/>
    </xf>
    <xf numFmtId="0" fontId="2" fillId="26" borderId="36" xfId="0" applyFont="1" applyFill="1" applyBorder="1" applyAlignment="1">
      <alignment horizontal="center" vertical="center"/>
    </xf>
    <xf numFmtId="0" fontId="2" fillId="26" borderId="37" xfId="0" applyFont="1" applyFill="1" applyBorder="1" applyAlignment="1">
      <alignment horizontal="center" vertical="center"/>
    </xf>
    <xf numFmtId="0" fontId="2" fillId="0" borderId="151" xfId="0" applyFont="1" applyBorder="1" applyAlignment="1">
      <alignment horizontal="left" vertical="center"/>
    </xf>
    <xf numFmtId="0" fontId="2" fillId="26" borderId="33" xfId="0" applyFont="1" applyFill="1" applyBorder="1" applyAlignment="1">
      <alignment horizontal="center" vertical="center"/>
    </xf>
    <xf numFmtId="0" fontId="2" fillId="26" borderId="34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20" fontId="8" fillId="80" borderId="27" xfId="0" applyNumberFormat="1" applyFont="1" applyFill="1" applyBorder="1" applyAlignment="1">
      <alignment horizontal="center" vertical="center" wrapText="1"/>
    </xf>
    <xf numFmtId="20" fontId="8" fillId="80" borderId="28" xfId="0" applyNumberFormat="1" applyFont="1" applyFill="1" applyBorder="1" applyAlignment="1">
      <alignment horizontal="center" vertical="center" wrapText="1"/>
    </xf>
    <xf numFmtId="20" fontId="8" fillId="80" borderId="29" xfId="0" applyNumberFormat="1" applyFont="1" applyFill="1" applyBorder="1" applyAlignment="1">
      <alignment horizontal="center" vertical="center" wrapText="1"/>
    </xf>
    <xf numFmtId="20" fontId="8" fillId="80" borderId="32" xfId="0" applyNumberFormat="1" applyFont="1" applyFill="1" applyBorder="1" applyAlignment="1">
      <alignment horizontal="center" vertical="center" wrapText="1"/>
    </xf>
    <xf numFmtId="20" fontId="8" fillId="80" borderId="33" xfId="0" applyNumberFormat="1" applyFont="1" applyFill="1" applyBorder="1" applyAlignment="1">
      <alignment horizontal="center" vertical="center" wrapText="1"/>
    </xf>
    <xf numFmtId="20" fontId="8" fillId="80" borderId="34" xfId="0" applyNumberFormat="1" applyFont="1" applyFill="1" applyBorder="1" applyAlignment="1">
      <alignment horizontal="center" vertical="center" wrapText="1"/>
    </xf>
    <xf numFmtId="0" fontId="8" fillId="0" borderId="213" xfId="0" applyFont="1" applyBorder="1" applyAlignment="1">
      <alignment horizontal="center" vertical="center" wrapText="1"/>
    </xf>
    <xf numFmtId="0" fontId="8" fillId="0" borderId="21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1" fontId="31" fillId="41" borderId="204" xfId="0" applyNumberFormat="1" applyFont="1" applyFill="1" applyBorder="1" applyAlignment="1">
      <alignment horizontal="center" vertical="center"/>
    </xf>
    <xf numFmtId="1" fontId="31" fillId="41" borderId="205" xfId="0" applyNumberFormat="1" applyFont="1" applyFill="1" applyBorder="1" applyAlignment="1">
      <alignment horizontal="center" vertical="center"/>
    </xf>
    <xf numFmtId="0" fontId="15" fillId="14" borderId="59" xfId="0" applyFont="1" applyFill="1" applyBorder="1" applyAlignment="1">
      <alignment horizontal="center" vertical="center"/>
    </xf>
    <xf numFmtId="0" fontId="62" fillId="46" borderId="102" xfId="0" applyFont="1" applyFill="1" applyBorder="1" applyAlignment="1">
      <alignment horizontal="center" vertical="center"/>
    </xf>
    <xf numFmtId="0" fontId="62" fillId="46" borderId="106" xfId="0" applyFont="1" applyFill="1" applyBorder="1" applyAlignment="1">
      <alignment horizontal="center" vertical="center"/>
    </xf>
    <xf numFmtId="0" fontId="62" fillId="46" borderId="104" xfId="0" applyFont="1" applyFill="1" applyBorder="1" applyAlignment="1">
      <alignment horizontal="center" vertical="center"/>
    </xf>
    <xf numFmtId="0" fontId="62" fillId="46" borderId="105" xfId="0" applyFont="1" applyFill="1" applyBorder="1" applyAlignment="1">
      <alignment horizontal="center" vertical="center"/>
    </xf>
    <xf numFmtId="0" fontId="62" fillId="46" borderId="21" xfId="0" applyFont="1" applyFill="1" applyBorder="1" applyAlignment="1">
      <alignment horizontal="center" vertical="center"/>
    </xf>
    <xf numFmtId="0" fontId="62" fillId="46" borderId="103" xfId="0" applyFont="1" applyFill="1" applyBorder="1" applyAlignment="1">
      <alignment horizontal="center" vertical="center"/>
    </xf>
    <xf numFmtId="0" fontId="62" fillId="46" borderId="107" xfId="0" applyFont="1" applyFill="1" applyBorder="1" applyAlignment="1">
      <alignment horizontal="center" vertical="center"/>
    </xf>
    <xf numFmtId="0" fontId="62" fillId="46" borderId="36" xfId="0" applyFont="1" applyFill="1" applyBorder="1" applyAlignment="1">
      <alignment horizontal="center" vertical="center"/>
    </xf>
    <xf numFmtId="0" fontId="62" fillId="46" borderId="84" xfId="0" applyFont="1" applyFill="1" applyBorder="1" applyAlignment="1">
      <alignment horizontal="center" vertical="center"/>
    </xf>
    <xf numFmtId="1" fontId="8" fillId="10" borderId="118" xfId="0" applyNumberFormat="1" applyFont="1" applyFill="1" applyBorder="1" applyAlignment="1">
      <alignment horizontal="center" vertical="center"/>
    </xf>
    <xf numFmtId="1" fontId="8" fillId="10" borderId="174" xfId="0" applyNumberFormat="1" applyFont="1" applyFill="1" applyBorder="1" applyAlignment="1">
      <alignment horizontal="center" vertical="center"/>
    </xf>
    <xf numFmtId="1" fontId="8" fillId="41" borderId="22" xfId="0" applyNumberFormat="1" applyFont="1" applyFill="1" applyBorder="1" applyAlignment="1">
      <alignment horizontal="center" vertical="center"/>
    </xf>
    <xf numFmtId="1" fontId="8" fillId="41" borderId="10" xfId="0" applyNumberFormat="1" applyFont="1" applyFill="1" applyBorder="1" applyAlignment="1">
      <alignment horizontal="center" vertical="center"/>
    </xf>
    <xf numFmtId="1" fontId="31" fillId="7" borderId="9" xfId="0" applyNumberFormat="1" applyFont="1" applyFill="1" applyBorder="1" applyAlignment="1">
      <alignment horizontal="center" vertical="center"/>
    </xf>
    <xf numFmtId="1" fontId="31" fillId="7" borderId="24" xfId="0" applyNumberFormat="1" applyFont="1" applyFill="1" applyBorder="1" applyAlignment="1">
      <alignment horizontal="center" vertical="center"/>
    </xf>
    <xf numFmtId="1" fontId="43" fillId="7" borderId="13" xfId="0" applyNumberFormat="1" applyFont="1" applyFill="1" applyBorder="1" applyAlignment="1">
      <alignment horizontal="center" vertical="center" wrapText="1"/>
    </xf>
    <xf numFmtId="1" fontId="43" fillId="7" borderId="24" xfId="0" applyNumberFormat="1" applyFont="1" applyFill="1" applyBorder="1" applyAlignment="1">
      <alignment horizontal="center" vertical="center" wrapText="1"/>
    </xf>
    <xf numFmtId="1" fontId="31" fillId="7" borderId="22" xfId="0" applyNumberFormat="1" applyFont="1" applyFill="1" applyBorder="1" applyAlignment="1">
      <alignment horizontal="center" vertical="center"/>
    </xf>
    <xf numFmtId="1" fontId="31" fillId="7" borderId="10" xfId="0" applyNumberFormat="1" applyFont="1" applyFill="1" applyBorder="1" applyAlignment="1">
      <alignment horizontal="center" vertical="center"/>
    </xf>
    <xf numFmtId="1" fontId="31" fillId="41" borderId="22" xfId="0" applyNumberFormat="1" applyFont="1" applyFill="1" applyBorder="1" applyAlignment="1">
      <alignment horizontal="center" vertical="center"/>
    </xf>
    <xf numFmtId="1" fontId="31" fillId="41" borderId="10" xfId="0" applyNumberFormat="1" applyFont="1" applyFill="1" applyBorder="1" applyAlignment="1">
      <alignment horizontal="center" vertical="center"/>
    </xf>
    <xf numFmtId="1" fontId="31" fillId="41" borderId="13" xfId="0" applyNumberFormat="1" applyFont="1" applyFill="1" applyBorder="1" applyAlignment="1">
      <alignment horizontal="center" vertical="center"/>
    </xf>
    <xf numFmtId="1" fontId="31" fillId="10" borderId="22" xfId="0" applyNumberFormat="1" applyFont="1" applyFill="1" applyBorder="1" applyAlignment="1">
      <alignment horizontal="center" vertical="center"/>
    </xf>
    <xf numFmtId="1" fontId="31" fillId="10" borderId="10" xfId="0" applyNumberFormat="1" applyFont="1" applyFill="1" applyBorder="1" applyAlignment="1">
      <alignment horizontal="center" vertical="center"/>
    </xf>
    <xf numFmtId="0" fontId="71" fillId="72" borderId="102" xfId="0" applyFont="1" applyFill="1" applyBorder="1" applyAlignment="1">
      <alignment horizontal="center" vertical="center"/>
    </xf>
    <xf numFmtId="0" fontId="71" fillId="72" borderId="106" xfId="0" applyFont="1" applyFill="1" applyBorder="1" applyAlignment="1">
      <alignment horizontal="center" vertical="center"/>
    </xf>
    <xf numFmtId="0" fontId="71" fillId="72" borderId="104" xfId="0" applyFont="1" applyFill="1" applyBorder="1" applyAlignment="1">
      <alignment horizontal="center" vertical="center"/>
    </xf>
    <xf numFmtId="0" fontId="71" fillId="72" borderId="105" xfId="0" applyFont="1" applyFill="1" applyBorder="1" applyAlignment="1">
      <alignment horizontal="center" vertical="center"/>
    </xf>
    <xf numFmtId="0" fontId="71" fillId="72" borderId="0" xfId="0" applyFont="1" applyFill="1" applyAlignment="1">
      <alignment horizontal="center" vertical="center"/>
    </xf>
    <xf numFmtId="0" fontId="71" fillId="72" borderId="103" xfId="0" applyFont="1" applyFill="1" applyBorder="1" applyAlignment="1">
      <alignment horizontal="center" vertical="center"/>
    </xf>
    <xf numFmtId="0" fontId="71" fillId="72" borderId="107" xfId="0" applyFont="1" applyFill="1" applyBorder="1" applyAlignment="1">
      <alignment horizontal="center" vertical="center"/>
    </xf>
    <xf numFmtId="0" fontId="71" fillId="72" borderId="36" xfId="0" applyFont="1" applyFill="1" applyBorder="1" applyAlignment="1">
      <alignment horizontal="center" vertical="center"/>
    </xf>
    <xf numFmtId="0" fontId="71" fillId="72" borderId="84" xfId="0" applyFont="1" applyFill="1" applyBorder="1" applyAlignment="1">
      <alignment horizontal="center" vertical="center"/>
    </xf>
    <xf numFmtId="0" fontId="29" fillId="20" borderId="12" xfId="0" applyFont="1" applyFill="1" applyBorder="1" applyAlignment="1">
      <alignment horizontal="center" vertical="center"/>
    </xf>
    <xf numFmtId="0" fontId="44" fillId="20" borderId="167" xfId="0" applyFont="1" applyFill="1" applyBorder="1"/>
    <xf numFmtId="0" fontId="44" fillId="20" borderId="166" xfId="0" applyFont="1" applyFill="1" applyBorder="1"/>
    <xf numFmtId="0" fontId="44" fillId="20" borderId="2" xfId="0" applyFont="1" applyFill="1" applyBorder="1"/>
    <xf numFmtId="0" fontId="34" fillId="7" borderId="102" xfId="0" applyFont="1" applyFill="1" applyBorder="1" applyAlignment="1">
      <alignment horizontal="center" vertical="center"/>
    </xf>
    <xf numFmtId="0" fontId="34" fillId="7" borderId="104" xfId="0" applyFont="1" applyFill="1" applyBorder="1" applyAlignment="1">
      <alignment horizontal="center" vertical="center"/>
    </xf>
    <xf numFmtId="0" fontId="34" fillId="7" borderId="107" xfId="0" applyFont="1" applyFill="1" applyBorder="1" applyAlignment="1">
      <alignment horizontal="center" vertical="center"/>
    </xf>
    <xf numFmtId="0" fontId="34" fillId="7" borderId="84" xfId="0" applyFont="1" applyFill="1" applyBorder="1" applyAlignment="1">
      <alignment horizontal="center" vertical="center"/>
    </xf>
    <xf numFmtId="0" fontId="28" fillId="7" borderId="107" xfId="0" applyFont="1" applyFill="1" applyBorder="1" applyAlignment="1">
      <alignment horizontal="center" vertical="center"/>
    </xf>
    <xf numFmtId="0" fontId="28" fillId="7" borderId="84" xfId="0" applyFont="1" applyFill="1" applyBorder="1" applyAlignment="1">
      <alignment horizontal="center" vertical="center"/>
    </xf>
    <xf numFmtId="1" fontId="34" fillId="0" borderId="11" xfId="0" applyNumberFormat="1" applyFont="1" applyBorder="1" applyAlignment="1">
      <alignment horizontal="center" vertical="center" wrapText="1"/>
    </xf>
    <xf numFmtId="0" fontId="38" fillId="0" borderId="5" xfId="0" applyFont="1" applyBorder="1"/>
    <xf numFmtId="0" fontId="34" fillId="2" borderId="11" xfId="0" applyFont="1" applyFill="1" applyBorder="1" applyAlignment="1">
      <alignment horizontal="center" vertical="center"/>
    </xf>
    <xf numFmtId="1" fontId="46" fillId="46" borderId="22" xfId="0" applyNumberFormat="1" applyFont="1" applyFill="1" applyBorder="1" applyAlignment="1">
      <alignment horizontal="center" vertical="center" wrapText="1"/>
    </xf>
    <xf numFmtId="1" fontId="46" fillId="46" borderId="10" xfId="0" applyNumberFormat="1" applyFont="1" applyFill="1" applyBorder="1" applyAlignment="1">
      <alignment horizontal="center" vertical="center" wrapText="1"/>
    </xf>
    <xf numFmtId="0" fontId="34" fillId="10" borderId="59" xfId="0" applyFont="1" applyFill="1" applyBorder="1" applyAlignment="1">
      <alignment horizontal="center" vertical="center"/>
    </xf>
    <xf numFmtId="0" fontId="46" fillId="69" borderId="0" xfId="0" applyFont="1" applyFill="1" applyAlignment="1">
      <alignment horizontal="center" vertical="center"/>
    </xf>
    <xf numFmtId="0" fontId="62" fillId="71" borderId="106" xfId="0" applyFont="1" applyFill="1" applyBorder="1" applyAlignment="1">
      <alignment horizontal="center" vertical="center"/>
    </xf>
    <xf numFmtId="0" fontId="62" fillId="71" borderId="104" xfId="0" applyFont="1" applyFill="1" applyBorder="1" applyAlignment="1">
      <alignment horizontal="center" vertical="center"/>
    </xf>
    <xf numFmtId="0" fontId="62" fillId="71" borderId="21" xfId="0" applyFont="1" applyFill="1" applyBorder="1" applyAlignment="1">
      <alignment horizontal="center" vertical="center"/>
    </xf>
    <xf numFmtId="0" fontId="62" fillId="71" borderId="103" xfId="0" applyFont="1" applyFill="1" applyBorder="1" applyAlignment="1">
      <alignment horizontal="center" vertical="center"/>
    </xf>
    <xf numFmtId="0" fontId="62" fillId="71" borderId="36" xfId="0" applyFont="1" applyFill="1" applyBorder="1" applyAlignment="1">
      <alignment horizontal="center" vertical="center"/>
    </xf>
    <xf numFmtId="0" fontId="62" fillId="71" borderId="84" xfId="0" applyFont="1" applyFill="1" applyBorder="1" applyAlignment="1">
      <alignment horizontal="center" vertical="center"/>
    </xf>
    <xf numFmtId="0" fontId="62" fillId="63" borderId="21" xfId="0" applyFont="1" applyFill="1" applyBorder="1" applyAlignment="1">
      <alignment horizontal="center" vertical="center"/>
    </xf>
    <xf numFmtId="1" fontId="8" fillId="10" borderId="149" xfId="0" applyNumberFormat="1" applyFont="1" applyFill="1" applyBorder="1" applyAlignment="1">
      <alignment horizontal="center" vertical="center"/>
    </xf>
    <xf numFmtId="1" fontId="8" fillId="10" borderId="75" xfId="0" applyNumberFormat="1" applyFont="1" applyFill="1" applyBorder="1" applyAlignment="1">
      <alignment horizontal="center" vertical="center"/>
    </xf>
    <xf numFmtId="0" fontId="29" fillId="10" borderId="59" xfId="0" applyFont="1" applyFill="1" applyBorder="1" applyAlignment="1">
      <alignment horizontal="center" wrapText="1"/>
    </xf>
    <xf numFmtId="0" fontId="15" fillId="7" borderId="139" xfId="0" applyFont="1" applyFill="1" applyBorder="1" applyAlignment="1">
      <alignment horizontal="center" vertical="center"/>
    </xf>
    <xf numFmtId="0" fontId="15" fillId="7" borderId="148" xfId="0" applyFont="1" applyFill="1" applyBorder="1" applyAlignment="1">
      <alignment horizontal="center" vertical="center"/>
    </xf>
    <xf numFmtId="0" fontId="15" fillId="7" borderId="99" xfId="0" applyFont="1" applyFill="1" applyBorder="1" applyAlignment="1">
      <alignment horizontal="center" vertical="center"/>
    </xf>
    <xf numFmtId="1" fontId="8" fillId="10" borderId="22" xfId="0" applyNumberFormat="1" applyFont="1" applyFill="1" applyBorder="1" applyAlignment="1">
      <alignment horizontal="center" vertical="center"/>
    </xf>
    <xf numFmtId="1" fontId="8" fillId="10" borderId="10" xfId="0" applyNumberFormat="1" applyFont="1" applyFill="1" applyBorder="1" applyAlignment="1">
      <alignment horizontal="center" vertical="center"/>
    </xf>
    <xf numFmtId="1" fontId="67" fillId="46" borderId="102" xfId="0" applyNumberFormat="1" applyFont="1" applyFill="1" applyBorder="1" applyAlignment="1">
      <alignment horizontal="center" vertical="center" wrapText="1"/>
    </xf>
    <xf numFmtId="1" fontId="67" fillId="46" borderId="106" xfId="0" applyNumberFormat="1" applyFont="1" applyFill="1" applyBorder="1" applyAlignment="1">
      <alignment horizontal="center" vertical="center" wrapText="1"/>
    </xf>
    <xf numFmtId="1" fontId="67" fillId="46" borderId="104" xfId="0" applyNumberFormat="1" applyFont="1" applyFill="1" applyBorder="1" applyAlignment="1">
      <alignment horizontal="center" vertical="center" wrapText="1"/>
    </xf>
    <xf numFmtId="1" fontId="67" fillId="46" borderId="107" xfId="0" applyNumberFormat="1" applyFont="1" applyFill="1" applyBorder="1" applyAlignment="1">
      <alignment horizontal="center" vertical="center" wrapText="1"/>
    </xf>
    <xf numFmtId="1" fontId="67" fillId="46" borderId="36" xfId="0" applyNumberFormat="1" applyFont="1" applyFill="1" applyBorder="1" applyAlignment="1">
      <alignment horizontal="center" vertical="center" wrapText="1"/>
    </xf>
    <xf numFmtId="1" fontId="67" fillId="46" borderId="84" xfId="0" applyNumberFormat="1" applyFont="1" applyFill="1" applyBorder="1" applyAlignment="1">
      <alignment horizontal="center" vertical="center" wrapText="1"/>
    </xf>
    <xf numFmtId="0" fontId="4" fillId="10" borderId="59" xfId="0" applyFont="1" applyFill="1" applyBorder="1" applyAlignment="1">
      <alignment horizontal="center" vertical="top" wrapText="1"/>
    </xf>
    <xf numFmtId="1" fontId="8" fillId="41" borderId="149" xfId="0" applyNumberFormat="1" applyFont="1" applyFill="1" applyBorder="1" applyAlignment="1">
      <alignment horizontal="center" vertical="center"/>
    </xf>
    <xf numFmtId="1" fontId="8" fillId="41" borderId="7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7" borderId="59" xfId="0" applyFont="1" applyFill="1" applyBorder="1" applyAlignment="1">
      <alignment horizontal="left" vertical="center"/>
    </xf>
    <xf numFmtId="1" fontId="14" fillId="68" borderId="59" xfId="0" applyNumberFormat="1" applyFont="1" applyFill="1" applyBorder="1" applyAlignment="1">
      <alignment horizontal="center" vertical="center" wrapText="1"/>
    </xf>
    <xf numFmtId="0" fontId="14" fillId="32" borderId="102" xfId="0" applyFont="1" applyFill="1" applyBorder="1" applyAlignment="1">
      <alignment vertical="center"/>
    </xf>
    <xf numFmtId="0" fontId="14" fillId="32" borderId="106" xfId="0" applyFont="1" applyFill="1" applyBorder="1" applyAlignment="1">
      <alignment vertical="center"/>
    </xf>
    <xf numFmtId="0" fontId="14" fillId="32" borderId="104" xfId="0" applyFont="1" applyFill="1" applyBorder="1" applyAlignment="1">
      <alignment vertical="center"/>
    </xf>
    <xf numFmtId="0" fontId="14" fillId="32" borderId="107" xfId="0" applyFont="1" applyFill="1" applyBorder="1" applyAlignment="1">
      <alignment vertical="center"/>
    </xf>
    <xf numFmtId="0" fontId="14" fillId="32" borderId="36" xfId="0" applyFont="1" applyFill="1" applyBorder="1" applyAlignment="1">
      <alignment vertical="center"/>
    </xf>
    <xf numFmtId="0" fontId="14" fillId="32" borderId="84" xfId="0" applyFont="1" applyFill="1" applyBorder="1" applyAlignment="1">
      <alignment vertical="center"/>
    </xf>
    <xf numFmtId="0" fontId="37" fillId="10" borderId="102" xfId="0" applyFont="1" applyFill="1" applyBorder="1" applyAlignment="1">
      <alignment horizontal="center" vertical="center"/>
    </xf>
    <xf numFmtId="0" fontId="37" fillId="10" borderId="106" xfId="0" applyFont="1" applyFill="1" applyBorder="1" applyAlignment="1">
      <alignment horizontal="center" vertical="center"/>
    </xf>
    <xf numFmtId="0" fontId="37" fillId="10" borderId="104" xfId="0" applyFont="1" applyFill="1" applyBorder="1" applyAlignment="1">
      <alignment horizontal="center" vertical="center"/>
    </xf>
    <xf numFmtId="0" fontId="37" fillId="10" borderId="105" xfId="0" applyFont="1" applyFill="1" applyBorder="1" applyAlignment="1">
      <alignment horizontal="center" vertical="center"/>
    </xf>
    <xf numFmtId="0" fontId="37" fillId="10" borderId="21" xfId="0" applyFont="1" applyFill="1" applyBorder="1" applyAlignment="1">
      <alignment horizontal="center" vertical="center"/>
    </xf>
    <xf numFmtId="0" fontId="37" fillId="10" borderId="103" xfId="0" applyFont="1" applyFill="1" applyBorder="1" applyAlignment="1">
      <alignment horizontal="center" vertical="center"/>
    </xf>
    <xf numFmtId="0" fontId="37" fillId="10" borderId="107" xfId="0" applyFont="1" applyFill="1" applyBorder="1" applyAlignment="1">
      <alignment horizontal="center" vertical="center"/>
    </xf>
    <xf numFmtId="0" fontId="37" fillId="10" borderId="36" xfId="0" applyFont="1" applyFill="1" applyBorder="1" applyAlignment="1">
      <alignment horizontal="center" vertical="center"/>
    </xf>
    <xf numFmtId="0" fontId="37" fillId="10" borderId="84" xfId="0" applyFont="1" applyFill="1" applyBorder="1" applyAlignment="1">
      <alignment horizontal="center" vertical="center"/>
    </xf>
    <xf numFmtId="0" fontId="1" fillId="7" borderId="87" xfId="0" applyFont="1" applyFill="1" applyBorder="1" applyAlignment="1">
      <alignment horizontal="left" vertical="center"/>
    </xf>
    <xf numFmtId="0" fontId="1" fillId="7" borderId="175" xfId="0" applyFont="1" applyFill="1" applyBorder="1" applyAlignment="1">
      <alignment horizontal="left" vertical="center"/>
    </xf>
    <xf numFmtId="0" fontId="1" fillId="7" borderId="73" xfId="0" applyFont="1" applyFill="1" applyBorder="1" applyAlignment="1">
      <alignment horizontal="left" vertical="center"/>
    </xf>
    <xf numFmtId="0" fontId="1" fillId="7" borderId="84" xfId="0" applyFont="1" applyFill="1" applyBorder="1" applyAlignment="1">
      <alignment horizontal="left" vertical="center"/>
    </xf>
    <xf numFmtId="0" fontId="1" fillId="0" borderId="87" xfId="0" applyFont="1" applyBorder="1" applyAlignment="1">
      <alignment horizontal="left" vertical="center"/>
    </xf>
    <xf numFmtId="0" fontId="1" fillId="0" borderId="79" xfId="0" applyFont="1" applyBorder="1" applyAlignment="1">
      <alignment horizontal="left" vertical="center"/>
    </xf>
    <xf numFmtId="0" fontId="5" fillId="7" borderId="53" xfId="0" applyFont="1" applyFill="1" applyBorder="1" applyAlignment="1">
      <alignment horizontal="center" vertical="center" wrapText="1"/>
    </xf>
    <xf numFmtId="0" fontId="3" fillId="7" borderId="54" xfId="0" applyFont="1" applyFill="1" applyBorder="1"/>
    <xf numFmtId="0" fontId="3" fillId="7" borderId="23" xfId="0" applyFont="1" applyFill="1" applyBorder="1"/>
    <xf numFmtId="0" fontId="3" fillId="7" borderId="24" xfId="0" applyFont="1" applyFill="1" applyBorder="1"/>
    <xf numFmtId="0" fontId="5" fillId="0" borderId="94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left" vertical="center"/>
    </xf>
    <xf numFmtId="0" fontId="1" fillId="0" borderId="84" xfId="0" applyFont="1" applyBorder="1" applyAlignment="1">
      <alignment horizontal="left" vertical="center"/>
    </xf>
    <xf numFmtId="0" fontId="74" fillId="70" borderId="29" xfId="0" applyFont="1" applyFill="1" applyBorder="1" applyAlignment="1">
      <alignment horizontal="center" vertical="center" wrapText="1"/>
    </xf>
    <xf numFmtId="0" fontId="74" fillId="70" borderId="58" xfId="0" applyFont="1" applyFill="1" applyBorder="1" applyAlignment="1">
      <alignment horizontal="center" vertical="center" wrapText="1"/>
    </xf>
    <xf numFmtId="0" fontId="1" fillId="9" borderId="42" xfId="0" applyFont="1" applyFill="1" applyBorder="1" applyAlignment="1">
      <alignment horizontal="center" vertical="center"/>
    </xf>
    <xf numFmtId="0" fontId="1" fillId="9" borderId="258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center" vertical="center" wrapText="1"/>
    </xf>
    <xf numFmtId="0" fontId="1" fillId="0" borderId="118" xfId="0" applyFont="1" applyBorder="1" applyAlignment="1">
      <alignment horizontal="left" vertical="center"/>
    </xf>
    <xf numFmtId="0" fontId="1" fillId="0" borderId="174" xfId="0" applyFont="1" applyBorder="1" applyAlignment="1">
      <alignment horizontal="left" vertical="center"/>
    </xf>
    <xf numFmtId="0" fontId="74" fillId="70" borderId="216" xfId="0" applyFont="1" applyFill="1" applyBorder="1" applyAlignment="1">
      <alignment horizontal="center" vertical="center" wrapText="1"/>
    </xf>
    <xf numFmtId="0" fontId="74" fillId="70" borderId="228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47" fillId="47" borderId="27" xfId="0" applyFont="1" applyFill="1" applyBorder="1" applyAlignment="1">
      <alignment horizontal="center" vertical="center" wrapText="1"/>
    </xf>
    <xf numFmtId="0" fontId="48" fillId="47" borderId="28" xfId="0" applyFont="1" applyFill="1" applyBorder="1"/>
    <xf numFmtId="0" fontId="5" fillId="0" borderId="27" xfId="0" applyFont="1" applyBorder="1" applyAlignment="1">
      <alignment horizontal="center" vertical="center"/>
    </xf>
    <xf numFmtId="0" fontId="5" fillId="0" borderId="113" xfId="0" applyFont="1" applyBorder="1" applyAlignment="1">
      <alignment horizontal="center" vertical="center"/>
    </xf>
    <xf numFmtId="0" fontId="1" fillId="8" borderId="73" xfId="0" applyFont="1" applyFill="1" applyBorder="1" applyAlignment="1">
      <alignment horizontal="left" vertical="center"/>
    </xf>
    <xf numFmtId="0" fontId="1" fillId="8" borderId="84" xfId="0" applyFont="1" applyFill="1" applyBorder="1" applyAlignment="1">
      <alignment horizontal="left" vertical="center"/>
    </xf>
    <xf numFmtId="0" fontId="1" fillId="5" borderId="91" xfId="0" applyFont="1" applyFill="1" applyBorder="1" applyAlignment="1">
      <alignment horizontal="left" vertical="center"/>
    </xf>
    <xf numFmtId="0" fontId="1" fillId="5" borderId="123" xfId="0" applyFont="1" applyFill="1" applyBorder="1" applyAlignment="1">
      <alignment horizontal="left" vertical="center"/>
    </xf>
    <xf numFmtId="0" fontId="1" fillId="5" borderId="73" xfId="0" applyFont="1" applyFill="1" applyBorder="1" applyAlignment="1">
      <alignment horizontal="left" vertical="center"/>
    </xf>
    <xf numFmtId="0" fontId="1" fillId="5" borderId="84" xfId="0" applyFont="1" applyFill="1" applyBorder="1" applyAlignment="1">
      <alignment horizontal="left" vertical="center"/>
    </xf>
    <xf numFmtId="0" fontId="5" fillId="25" borderId="91" xfId="0" applyFont="1" applyFill="1" applyBorder="1" applyAlignment="1">
      <alignment horizontal="left" vertical="center"/>
    </xf>
    <xf numFmtId="0" fontId="5" fillId="25" borderId="123" xfId="0" applyFont="1" applyFill="1" applyBorder="1" applyAlignment="1">
      <alignment horizontal="left" vertical="center"/>
    </xf>
    <xf numFmtId="0" fontId="5" fillId="20" borderId="118" xfId="0" applyFont="1" applyFill="1" applyBorder="1" applyAlignment="1">
      <alignment horizontal="left" vertical="center"/>
    </xf>
    <xf numFmtId="0" fontId="5" fillId="20" borderId="75" xfId="0" applyFont="1" applyFill="1" applyBorder="1" applyAlignment="1">
      <alignment horizontal="left" vertical="center"/>
    </xf>
    <xf numFmtId="0" fontId="1" fillId="8" borderId="118" xfId="0" applyFont="1" applyFill="1" applyBorder="1" applyAlignment="1">
      <alignment horizontal="left" vertical="center"/>
    </xf>
    <xf numFmtId="0" fontId="1" fillId="8" borderId="174" xfId="0" applyFont="1" applyFill="1" applyBorder="1" applyAlignment="1">
      <alignment horizontal="left" vertical="center"/>
    </xf>
    <xf numFmtId="0" fontId="1" fillId="15" borderId="118" xfId="0" applyFont="1" applyFill="1" applyBorder="1" applyAlignment="1">
      <alignment horizontal="left" vertical="center"/>
    </xf>
    <xf numFmtId="0" fontId="1" fillId="15" borderId="174" xfId="0" applyFont="1" applyFill="1" applyBorder="1" applyAlignment="1">
      <alignment horizontal="left" vertical="center"/>
    </xf>
    <xf numFmtId="0" fontId="1" fillId="7" borderId="91" xfId="0" applyFont="1" applyFill="1" applyBorder="1" applyAlignment="1">
      <alignment horizontal="left" vertical="center"/>
    </xf>
    <xf numFmtId="0" fontId="1" fillId="7" borderId="172" xfId="0" applyFont="1" applyFill="1" applyBorder="1" applyAlignment="1">
      <alignment horizontal="left" vertical="center"/>
    </xf>
    <xf numFmtId="0" fontId="22" fillId="7" borderId="238" xfId="0" applyFont="1" applyFill="1" applyBorder="1" applyAlignment="1">
      <alignment horizontal="center" vertical="center" wrapText="1"/>
    </xf>
    <xf numFmtId="0" fontId="22" fillId="7" borderId="218" xfId="0" applyFont="1" applyFill="1" applyBorder="1" applyAlignment="1">
      <alignment horizontal="center" vertical="center" wrapText="1"/>
    </xf>
    <xf numFmtId="0" fontId="22" fillId="0" borderId="264" xfId="0" applyFont="1" applyBorder="1" applyAlignment="1">
      <alignment horizontal="left" vertical="center"/>
    </xf>
    <xf numFmtId="0" fontId="22" fillId="0" borderId="140" xfId="0" applyFont="1" applyBorder="1" applyAlignment="1">
      <alignment horizontal="left" vertical="center"/>
    </xf>
    <xf numFmtId="0" fontId="21" fillId="20" borderId="177" xfId="0" applyFont="1" applyFill="1" applyBorder="1" applyAlignment="1">
      <alignment horizontal="left" vertical="center"/>
    </xf>
    <xf numFmtId="0" fontId="21" fillId="20" borderId="82" xfId="0" applyFont="1" applyFill="1" applyBorder="1" applyAlignment="1">
      <alignment horizontal="left" vertical="center"/>
    </xf>
    <xf numFmtId="42" fontId="22" fillId="20" borderId="178" xfId="1" applyFont="1" applyFill="1" applyBorder="1" applyAlignment="1">
      <alignment horizontal="center" vertical="center"/>
    </xf>
    <xf numFmtId="42" fontId="22" fillId="20" borderId="109" xfId="1" applyFont="1" applyFill="1" applyBorder="1" applyAlignment="1">
      <alignment horizontal="center" vertical="center"/>
    </xf>
    <xf numFmtId="1" fontId="5" fillId="16" borderId="238" xfId="0" applyNumberFormat="1" applyFont="1" applyFill="1" applyBorder="1" applyAlignment="1">
      <alignment horizontal="center" vertical="center"/>
    </xf>
    <xf numFmtId="1" fontId="5" fillId="16" borderId="218" xfId="0" applyNumberFormat="1" applyFont="1" applyFill="1" applyBorder="1" applyAlignment="1">
      <alignment horizontal="center" vertical="center"/>
    </xf>
    <xf numFmtId="0" fontId="1" fillId="5" borderId="118" xfId="0" applyFont="1" applyFill="1" applyBorder="1" applyAlignment="1">
      <alignment horizontal="left" vertical="center"/>
    </xf>
    <xf numFmtId="0" fontId="1" fillId="5" borderId="174" xfId="0" applyFont="1" applyFill="1" applyBorder="1" applyAlignment="1">
      <alignment horizontal="left" vertical="center"/>
    </xf>
    <xf numFmtId="0" fontId="5" fillId="7" borderId="118" xfId="0" applyFont="1" applyFill="1" applyBorder="1" applyAlignment="1">
      <alignment horizontal="left" vertical="center"/>
    </xf>
    <xf numFmtId="0" fontId="5" fillId="7" borderId="75" xfId="0" applyFont="1" applyFill="1" applyBorder="1" applyAlignment="1">
      <alignment horizontal="left" vertical="center"/>
    </xf>
    <xf numFmtId="0" fontId="1" fillId="0" borderId="75" xfId="0" applyFont="1" applyBorder="1" applyAlignment="1">
      <alignment horizontal="left" vertical="center"/>
    </xf>
    <xf numFmtId="0" fontId="1" fillId="2" borderId="73" xfId="0" applyFont="1" applyFill="1" applyBorder="1" applyAlignment="1">
      <alignment horizontal="left" vertical="center"/>
    </xf>
    <xf numFmtId="0" fontId="1" fillId="2" borderId="84" xfId="0" applyFont="1" applyFill="1" applyBorder="1" applyAlignment="1">
      <alignment horizontal="left" vertical="center"/>
    </xf>
    <xf numFmtId="0" fontId="1" fillId="6" borderId="91" xfId="0" applyFont="1" applyFill="1" applyBorder="1" applyAlignment="1">
      <alignment horizontal="left" vertical="center"/>
    </xf>
    <xf numFmtId="0" fontId="1" fillId="6" borderId="123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5" borderId="103" xfId="0" applyFont="1" applyFill="1" applyBorder="1" applyAlignment="1">
      <alignment horizontal="left" vertical="center"/>
    </xf>
    <xf numFmtId="0" fontId="5" fillId="52" borderId="33" xfId="0" applyFont="1" applyFill="1" applyBorder="1" applyAlignment="1">
      <alignment horizontal="center" vertical="center"/>
    </xf>
    <xf numFmtId="0" fontId="3" fillId="0" borderId="54" xfId="0" applyFont="1" applyBorder="1"/>
    <xf numFmtId="0" fontId="3" fillId="0" borderId="23" xfId="0" applyFont="1" applyBorder="1"/>
    <xf numFmtId="0" fontId="3" fillId="0" borderId="24" xfId="0" applyFont="1" applyBorder="1"/>
    <xf numFmtId="0" fontId="1" fillId="0" borderId="35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" fillId="7" borderId="42" xfId="0" applyFont="1" applyFill="1" applyBorder="1" applyAlignment="1">
      <alignment horizontal="center" vertical="center"/>
    </xf>
    <xf numFmtId="0" fontId="1" fillId="7" borderId="258" xfId="0" applyFont="1" applyFill="1" applyBorder="1" applyAlignment="1">
      <alignment horizontal="center" vertical="center"/>
    </xf>
    <xf numFmtId="0" fontId="1" fillId="15" borderId="42" xfId="0" applyFont="1" applyFill="1" applyBorder="1" applyAlignment="1">
      <alignment horizontal="center" vertical="center"/>
    </xf>
    <xf numFmtId="0" fontId="1" fillId="15" borderId="258" xfId="0" applyFont="1" applyFill="1" applyBorder="1" applyAlignment="1">
      <alignment horizontal="center" vertical="center"/>
    </xf>
    <xf numFmtId="0" fontId="1" fillId="15" borderId="38" xfId="0" applyFont="1" applyFill="1" applyBorder="1" applyAlignment="1">
      <alignment horizontal="center" vertical="center"/>
    </xf>
    <xf numFmtId="0" fontId="1" fillId="15" borderId="58" xfId="0" applyFont="1" applyFill="1" applyBorder="1" applyAlignment="1">
      <alignment horizontal="center" vertical="center"/>
    </xf>
    <xf numFmtId="0" fontId="1" fillId="8" borderId="157" xfId="0" applyFont="1" applyFill="1" applyBorder="1" applyAlignment="1">
      <alignment horizontal="center" vertical="center"/>
    </xf>
    <xf numFmtId="0" fontId="1" fillId="8" borderId="158" xfId="0" applyFont="1" applyFill="1" applyBorder="1" applyAlignment="1">
      <alignment horizontal="center" vertical="center"/>
    </xf>
    <xf numFmtId="0" fontId="1" fillId="7" borderId="157" xfId="0" applyFont="1" applyFill="1" applyBorder="1" applyAlignment="1">
      <alignment horizontal="center" vertical="center"/>
    </xf>
    <xf numFmtId="0" fontId="1" fillId="7" borderId="158" xfId="0" applyFont="1" applyFill="1" applyBorder="1" applyAlignment="1">
      <alignment horizontal="center" vertical="center"/>
    </xf>
    <xf numFmtId="0" fontId="1" fillId="7" borderId="43" xfId="0" applyFont="1" applyFill="1" applyBorder="1" applyAlignment="1">
      <alignment horizontal="center" vertical="center"/>
    </xf>
    <xf numFmtId="0" fontId="1" fillId="7" borderId="57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8" borderId="45" xfId="0" applyFont="1" applyFill="1" applyBorder="1" applyAlignment="1">
      <alignment horizontal="center" vertical="center"/>
    </xf>
    <xf numFmtId="0" fontId="1" fillId="8" borderId="98" xfId="0" applyFont="1" applyFill="1" applyBorder="1" applyAlignment="1">
      <alignment horizontal="center" vertical="center"/>
    </xf>
    <xf numFmtId="0" fontId="63" fillId="63" borderId="251" xfId="0" applyFont="1" applyFill="1" applyBorder="1" applyAlignment="1">
      <alignment horizontal="center" vertical="center"/>
    </xf>
    <xf numFmtId="0" fontId="63" fillId="63" borderId="208" xfId="0" applyFont="1" applyFill="1" applyBorder="1" applyAlignment="1">
      <alignment horizontal="center" vertical="center"/>
    </xf>
    <xf numFmtId="0" fontId="63" fillId="63" borderId="209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left" vertical="center"/>
    </xf>
    <xf numFmtId="0" fontId="74" fillId="70" borderId="27" xfId="0" applyFont="1" applyFill="1" applyBorder="1" applyAlignment="1">
      <alignment horizontal="center" vertical="center" wrapText="1"/>
    </xf>
    <xf numFmtId="0" fontId="74" fillId="70" borderId="28" xfId="0" applyFont="1" applyFill="1" applyBorder="1" applyAlignment="1">
      <alignment horizontal="center" vertical="center" wrapText="1"/>
    </xf>
    <xf numFmtId="0" fontId="74" fillId="70" borderId="32" xfId="0" applyFont="1" applyFill="1" applyBorder="1" applyAlignment="1">
      <alignment horizontal="center" vertical="center" wrapText="1"/>
    </xf>
    <xf numFmtId="0" fontId="74" fillId="70" borderId="33" xfId="0" applyFont="1" applyFill="1" applyBorder="1" applyAlignment="1">
      <alignment horizontal="center" vertical="center" wrapText="1"/>
    </xf>
    <xf numFmtId="0" fontId="1" fillId="0" borderId="175" xfId="0" applyFont="1" applyBorder="1" applyAlignment="1">
      <alignment horizontal="left" vertical="center"/>
    </xf>
    <xf numFmtId="0" fontId="1" fillId="8" borderId="135" xfId="0" applyFont="1" applyFill="1" applyBorder="1" applyAlignment="1">
      <alignment horizontal="center" vertical="center"/>
    </xf>
    <xf numFmtId="0" fontId="1" fillId="8" borderId="260" xfId="0" applyFont="1" applyFill="1" applyBorder="1" applyAlignment="1">
      <alignment horizontal="center" vertical="center"/>
    </xf>
    <xf numFmtId="0" fontId="1" fillId="5" borderId="258" xfId="0" applyFont="1" applyFill="1" applyBorder="1" applyAlignment="1">
      <alignment horizontal="center" vertical="center"/>
    </xf>
    <xf numFmtId="0" fontId="1" fillId="0" borderId="258" xfId="0" applyFont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98" xfId="0" applyFont="1" applyFill="1" applyBorder="1" applyAlignment="1">
      <alignment horizontal="center" vertical="center"/>
    </xf>
    <xf numFmtId="0" fontId="5" fillId="0" borderId="93" xfId="0" applyFont="1" applyBorder="1" applyAlignment="1">
      <alignment horizontal="center" vertical="center" wrapText="1"/>
    </xf>
    <xf numFmtId="0" fontId="1" fillId="8" borderId="108" xfId="0" applyFont="1" applyFill="1" applyBorder="1" applyAlignment="1">
      <alignment horizontal="left" vertical="center"/>
    </xf>
    <xf numFmtId="0" fontId="1" fillId="8" borderId="138" xfId="0" applyFont="1" applyFill="1" applyBorder="1" applyAlignment="1">
      <alignment horizontal="left" vertical="center"/>
    </xf>
    <xf numFmtId="0" fontId="21" fillId="20" borderId="157" xfId="0" applyFont="1" applyFill="1" applyBorder="1" applyAlignment="1">
      <alignment horizontal="center" vertical="center" wrapText="1"/>
    </xf>
    <xf numFmtId="0" fontId="21" fillId="20" borderId="144" xfId="0" applyFont="1" applyFill="1" applyBorder="1" applyAlignment="1">
      <alignment horizontal="center" vertical="center" wrapText="1"/>
    </xf>
    <xf numFmtId="0" fontId="1" fillId="8" borderId="122" xfId="0" applyFont="1" applyFill="1" applyBorder="1" applyAlignment="1">
      <alignment horizontal="center" vertical="center"/>
    </xf>
    <xf numFmtId="0" fontId="1" fillId="8" borderId="259" xfId="0" applyFont="1" applyFill="1" applyBorder="1" applyAlignment="1">
      <alignment horizontal="center" vertical="center"/>
    </xf>
    <xf numFmtId="0" fontId="22" fillId="15" borderId="122" xfId="0" applyFont="1" applyFill="1" applyBorder="1" applyAlignment="1">
      <alignment horizontal="center" vertical="center"/>
    </xf>
    <xf numFmtId="0" fontId="22" fillId="15" borderId="132" xfId="0" applyFont="1" applyFill="1" applyBorder="1" applyAlignment="1">
      <alignment horizontal="center" vertical="center"/>
    </xf>
    <xf numFmtId="0" fontId="1" fillId="0" borderId="135" xfId="0" applyFont="1" applyBorder="1" applyAlignment="1">
      <alignment horizontal="center" vertical="center" wrapText="1"/>
    </xf>
    <xf numFmtId="0" fontId="1" fillId="0" borderId="260" xfId="0" applyFont="1" applyBorder="1" applyAlignment="1">
      <alignment horizontal="center" vertical="center" wrapText="1"/>
    </xf>
    <xf numFmtId="0" fontId="1" fillId="8" borderId="94" xfId="0" applyFont="1" applyFill="1" applyBorder="1" applyAlignment="1">
      <alignment horizontal="left" vertical="center"/>
    </xf>
    <xf numFmtId="0" fontId="48" fillId="47" borderId="38" xfId="0" applyFont="1" applyFill="1" applyBorder="1"/>
    <xf numFmtId="0" fontId="48" fillId="47" borderId="26" xfId="0" applyFont="1" applyFill="1" applyBorder="1"/>
    <xf numFmtId="0" fontId="5" fillId="0" borderId="23" xfId="0" applyFont="1" applyBorder="1" applyAlignment="1">
      <alignment horizontal="center" vertical="center" wrapText="1"/>
    </xf>
    <xf numFmtId="0" fontId="47" fillId="47" borderId="28" xfId="0" applyFont="1" applyFill="1" applyBorder="1" applyAlignment="1">
      <alignment horizontal="center" vertical="center" wrapText="1"/>
    </xf>
    <xf numFmtId="0" fontId="47" fillId="47" borderId="30" xfId="0" applyFont="1" applyFill="1" applyBorder="1" applyAlignment="1">
      <alignment horizontal="center" vertical="center" wrapText="1"/>
    </xf>
    <xf numFmtId="0" fontId="47" fillId="47" borderId="21" xfId="0" applyFont="1" applyFill="1" applyBorder="1" applyAlignment="1">
      <alignment horizontal="center" vertical="center" wrapText="1"/>
    </xf>
    <xf numFmtId="0" fontId="47" fillId="47" borderId="38" xfId="0" applyFont="1" applyFill="1" applyBorder="1" applyAlignment="1">
      <alignment horizontal="center" vertical="center" wrapText="1"/>
    </xf>
    <xf numFmtId="0" fontId="47" fillId="47" borderId="26" xfId="0" applyFont="1" applyFill="1" applyBorder="1" applyAlignment="1">
      <alignment horizontal="center" vertical="center" wrapText="1"/>
    </xf>
    <xf numFmtId="0" fontId="74" fillId="70" borderId="201" xfId="0" applyFont="1" applyFill="1" applyBorder="1" applyAlignment="1">
      <alignment horizontal="center" vertical="center" wrapText="1"/>
    </xf>
    <xf numFmtId="0" fontId="74" fillId="70" borderId="158" xfId="0" applyFont="1" applyFill="1" applyBorder="1" applyAlignment="1">
      <alignment horizontal="center" vertical="center" wrapText="1"/>
    </xf>
    <xf numFmtId="0" fontId="74" fillId="70" borderId="220" xfId="0" applyFont="1" applyFill="1" applyBorder="1" applyAlignment="1">
      <alignment horizontal="center" vertical="center" wrapText="1"/>
    </xf>
    <xf numFmtId="0" fontId="74" fillId="70" borderId="176" xfId="0" applyFont="1" applyFill="1" applyBorder="1" applyAlignment="1">
      <alignment horizontal="center" vertical="center" wrapText="1"/>
    </xf>
    <xf numFmtId="0" fontId="74" fillId="70" borderId="218" xfId="0" applyFont="1" applyFill="1" applyBorder="1" applyAlignment="1">
      <alignment horizontal="center" vertical="center" wrapText="1"/>
    </xf>
    <xf numFmtId="0" fontId="48" fillId="47" borderId="29" xfId="0" applyFont="1" applyFill="1" applyBorder="1"/>
    <xf numFmtId="0" fontId="48" fillId="47" borderId="58" xfId="0" applyFont="1" applyFill="1" applyBorder="1"/>
    <xf numFmtId="0" fontId="1" fillId="0" borderId="2" xfId="0" applyFont="1" applyBorder="1" applyAlignment="1">
      <alignment horizontal="center" vertical="center"/>
    </xf>
    <xf numFmtId="0" fontId="8" fillId="16" borderId="27" xfId="0" applyFont="1" applyFill="1" applyBorder="1" applyAlignment="1">
      <alignment horizontal="center" vertical="center"/>
    </xf>
    <xf numFmtId="0" fontId="8" fillId="16" borderId="28" xfId="0" applyFont="1" applyFill="1" applyBorder="1" applyAlignment="1">
      <alignment horizontal="center" vertical="center"/>
    </xf>
    <xf numFmtId="0" fontId="8" fillId="16" borderId="21" xfId="0" applyFont="1" applyFill="1" applyBorder="1" applyAlignment="1">
      <alignment horizontal="center" vertical="center"/>
    </xf>
    <xf numFmtId="0" fontId="8" fillId="16" borderId="29" xfId="0" applyFont="1" applyFill="1" applyBorder="1" applyAlignment="1">
      <alignment horizontal="center" vertical="center"/>
    </xf>
    <xf numFmtId="0" fontId="8" fillId="16" borderId="32" xfId="0" applyFont="1" applyFill="1" applyBorder="1" applyAlignment="1">
      <alignment horizontal="center" vertical="center"/>
    </xf>
    <xf numFmtId="0" fontId="8" fillId="16" borderId="33" xfId="0" applyFont="1" applyFill="1" applyBorder="1" applyAlignment="1">
      <alignment horizontal="center" vertical="center"/>
    </xf>
    <xf numFmtId="0" fontId="8" fillId="16" borderId="34" xfId="0" applyFont="1" applyFill="1" applyBorder="1" applyAlignment="1">
      <alignment horizontal="center" vertical="center"/>
    </xf>
    <xf numFmtId="0" fontId="1" fillId="26" borderId="42" xfId="0" applyFont="1" applyFill="1" applyBorder="1" applyAlignment="1">
      <alignment horizontal="center" vertical="center"/>
    </xf>
    <xf numFmtId="0" fontId="1" fillId="26" borderId="44" xfId="0" applyFont="1" applyFill="1" applyBorder="1" applyAlignment="1">
      <alignment horizontal="center" vertical="center"/>
    </xf>
    <xf numFmtId="0" fontId="1" fillId="18" borderId="42" xfId="0" applyFont="1" applyFill="1" applyBorder="1" applyAlignment="1">
      <alignment horizontal="center" vertical="center"/>
    </xf>
    <xf numFmtId="0" fontId="1" fillId="18" borderId="44" xfId="0" applyFont="1" applyFill="1" applyBorder="1" applyAlignment="1">
      <alignment horizontal="center" vertical="center"/>
    </xf>
    <xf numFmtId="0" fontId="1" fillId="37" borderId="45" xfId="0" applyFont="1" applyFill="1" applyBorder="1" applyAlignment="1">
      <alignment horizontal="center" vertical="center"/>
    </xf>
    <xf numFmtId="0" fontId="1" fillId="37" borderId="98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0" fontId="1" fillId="10" borderId="44" xfId="0" applyFont="1" applyFill="1" applyBorder="1" applyAlignment="1">
      <alignment horizontal="center" vertical="center"/>
    </xf>
    <xf numFmtId="0" fontId="1" fillId="8" borderId="43" xfId="0" applyFont="1" applyFill="1" applyBorder="1" applyAlignment="1">
      <alignment horizontal="center" vertical="center"/>
    </xf>
    <xf numFmtId="0" fontId="1" fillId="8" borderId="57" xfId="0" applyFont="1" applyFill="1" applyBorder="1" applyAlignment="1">
      <alignment horizontal="center" vertical="center"/>
    </xf>
    <xf numFmtId="0" fontId="1" fillId="0" borderId="263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22" xfId="0" applyFont="1" applyBorder="1" applyAlignment="1">
      <alignment horizontal="center" vertical="center"/>
    </xf>
    <xf numFmtId="0" fontId="1" fillId="0" borderId="132" xfId="0" applyFont="1" applyBorder="1" applyAlignment="1">
      <alignment horizontal="center" vertical="center"/>
    </xf>
    <xf numFmtId="42" fontId="1" fillId="18" borderId="42" xfId="1" applyFont="1" applyFill="1" applyBorder="1" applyAlignment="1">
      <alignment horizontal="center" vertical="center"/>
    </xf>
    <xf numFmtId="42" fontId="1" fillId="18" borderId="44" xfId="1" applyFont="1" applyFill="1" applyBorder="1" applyAlignment="1">
      <alignment horizontal="center" vertical="center"/>
    </xf>
    <xf numFmtId="42" fontId="1" fillId="15" borderId="42" xfId="1" applyFont="1" applyFill="1" applyBorder="1" applyAlignment="1">
      <alignment horizontal="center" vertical="center"/>
    </xf>
    <xf numFmtId="42" fontId="1" fillId="15" borderId="44" xfId="1" applyFont="1" applyFill="1" applyBorder="1" applyAlignment="1">
      <alignment horizontal="center" vertical="center"/>
    </xf>
    <xf numFmtId="0" fontId="1" fillId="8" borderId="198" xfId="0" applyFont="1" applyFill="1" applyBorder="1" applyAlignment="1">
      <alignment horizontal="center" vertical="center"/>
    </xf>
    <xf numFmtId="0" fontId="1" fillId="8" borderId="214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8" borderId="58" xfId="0" applyFont="1" applyFill="1" applyBorder="1" applyAlignment="1">
      <alignment horizontal="center" vertical="center"/>
    </xf>
    <xf numFmtId="0" fontId="1" fillId="8" borderId="132" xfId="0" applyFont="1" applyFill="1" applyBorder="1" applyAlignment="1">
      <alignment horizontal="center" vertical="center"/>
    </xf>
    <xf numFmtId="0" fontId="1" fillId="0" borderId="135" xfId="0" applyFont="1" applyBorder="1" applyAlignment="1">
      <alignment horizontal="center" vertical="center"/>
    </xf>
    <xf numFmtId="0" fontId="1" fillId="0" borderId="260" xfId="0" applyFont="1" applyBorder="1" applyAlignment="1">
      <alignment horizontal="center" vertical="center"/>
    </xf>
    <xf numFmtId="0" fontId="5" fillId="0" borderId="103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 wrapText="1"/>
    </xf>
    <xf numFmtId="0" fontId="1" fillId="0" borderId="115" xfId="0" applyFont="1" applyBorder="1" applyAlignment="1">
      <alignment horizontal="center" vertical="center" wrapText="1"/>
    </xf>
    <xf numFmtId="0" fontId="1" fillId="0" borderId="116" xfId="0" applyFont="1" applyBorder="1" applyAlignment="1">
      <alignment horizontal="center" vertical="center" wrapText="1"/>
    </xf>
    <xf numFmtId="0" fontId="1" fillId="0" borderId="10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47" fillId="47" borderId="76" xfId="0" applyFont="1" applyFill="1" applyBorder="1" applyAlignment="1">
      <alignment horizontal="center" vertical="center" wrapText="1"/>
    </xf>
    <xf numFmtId="0" fontId="47" fillId="47" borderId="124" xfId="0" applyFont="1" applyFill="1" applyBorder="1" applyAlignment="1">
      <alignment horizontal="center" vertical="center" wrapText="1"/>
    </xf>
    <xf numFmtId="0" fontId="47" fillId="47" borderId="77" xfId="0" applyFont="1" applyFill="1" applyBorder="1" applyAlignment="1">
      <alignment horizontal="center" vertical="center" wrapText="1"/>
    </xf>
    <xf numFmtId="0" fontId="47" fillId="47" borderId="149" xfId="0" applyFont="1" applyFill="1" applyBorder="1" applyAlignment="1">
      <alignment horizontal="center" vertical="center" wrapText="1"/>
    </xf>
    <xf numFmtId="0" fontId="5" fillId="20" borderId="27" xfId="0" applyFont="1" applyFill="1" applyBorder="1" applyAlignment="1">
      <alignment horizontal="center" vertical="center" wrapText="1"/>
    </xf>
    <xf numFmtId="0" fontId="5" fillId="20" borderId="113" xfId="0" applyFont="1" applyFill="1" applyBorder="1" applyAlignment="1">
      <alignment horizontal="center" vertical="center" wrapText="1"/>
    </xf>
    <xf numFmtId="0" fontId="5" fillId="20" borderId="30" xfId="0" applyFont="1" applyFill="1" applyBorder="1" applyAlignment="1">
      <alignment horizontal="center" vertical="center" wrapText="1"/>
    </xf>
    <xf numFmtId="0" fontId="5" fillId="20" borderId="103" xfId="0" applyFont="1" applyFill="1" applyBorder="1" applyAlignment="1">
      <alignment horizontal="center" vertical="center" wrapText="1"/>
    </xf>
    <xf numFmtId="0" fontId="5" fillId="20" borderId="38" xfId="0" applyFont="1" applyFill="1" applyBorder="1" applyAlignment="1">
      <alignment horizontal="center" vertical="center" wrapText="1"/>
    </xf>
    <xf numFmtId="0" fontId="5" fillId="20" borderId="114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5" fillId="20" borderId="35" xfId="0" applyFont="1" applyFill="1" applyBorder="1" applyAlignment="1">
      <alignment horizontal="center" vertical="center" wrapText="1"/>
    </xf>
    <xf numFmtId="0" fontId="5" fillId="20" borderId="84" xfId="0" applyFont="1" applyFill="1" applyBorder="1" applyAlignment="1">
      <alignment horizontal="center" vertical="center" wrapText="1"/>
    </xf>
    <xf numFmtId="0" fontId="3" fillId="0" borderId="89" xfId="0" applyFont="1" applyBorder="1"/>
    <xf numFmtId="0" fontId="1" fillId="9" borderId="27" xfId="0" applyFont="1" applyFill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21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0" borderId="76" xfId="0" applyFont="1" applyFill="1" applyBorder="1" applyAlignment="1">
      <alignment horizontal="center" vertical="center" wrapText="1"/>
    </xf>
    <xf numFmtId="0" fontId="5" fillId="20" borderId="60" xfId="0" applyFont="1" applyFill="1" applyBorder="1" applyAlignment="1">
      <alignment horizontal="center" vertical="center" wrapText="1"/>
    </xf>
    <xf numFmtId="0" fontId="5" fillId="20" borderId="77" xfId="0" applyFont="1" applyFill="1" applyBorder="1" applyAlignment="1">
      <alignment horizontal="center" vertical="center" wrapText="1"/>
    </xf>
    <xf numFmtId="0" fontId="5" fillId="20" borderId="59" xfId="0" applyFont="1" applyFill="1" applyBorder="1" applyAlignment="1">
      <alignment horizontal="center" vertical="center" wrapText="1"/>
    </xf>
    <xf numFmtId="0" fontId="1" fillId="5" borderId="85" xfId="0" applyFont="1" applyFill="1" applyBorder="1" applyAlignment="1">
      <alignment horizontal="left" vertical="center"/>
    </xf>
    <xf numFmtId="0" fontId="1" fillId="5" borderId="86" xfId="0" applyFont="1" applyFill="1" applyBorder="1" applyAlignment="1">
      <alignment horizontal="left" vertical="center"/>
    </xf>
    <xf numFmtId="0" fontId="5" fillId="20" borderId="53" xfId="0" applyFont="1" applyFill="1" applyBorder="1" applyAlignment="1">
      <alignment horizontal="center" vertical="center" wrapText="1"/>
    </xf>
    <xf numFmtId="0" fontId="5" fillId="20" borderId="28" xfId="0" applyFont="1" applyFill="1" applyBorder="1" applyAlignment="1">
      <alignment horizontal="center" vertical="center" wrapText="1"/>
    </xf>
    <xf numFmtId="0" fontId="5" fillId="20" borderId="54" xfId="0" applyFont="1" applyFill="1" applyBorder="1" applyAlignment="1">
      <alignment horizontal="center" vertical="center" wrapText="1"/>
    </xf>
    <xf numFmtId="0" fontId="5" fillId="20" borderId="93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 wrapText="1"/>
    </xf>
    <xf numFmtId="0" fontId="5" fillId="20" borderId="94" xfId="0" applyFont="1" applyFill="1" applyBorder="1" applyAlignment="1">
      <alignment horizontal="center" vertical="center" wrapText="1"/>
    </xf>
    <xf numFmtId="0" fontId="3" fillId="20" borderId="54" xfId="0" applyFont="1" applyFill="1" applyBorder="1" applyAlignment="1">
      <alignment vertical="center"/>
    </xf>
    <xf numFmtId="0" fontId="3" fillId="20" borderId="38" xfId="0" applyFont="1" applyFill="1" applyBorder="1" applyAlignment="1">
      <alignment vertical="center"/>
    </xf>
    <xf numFmtId="0" fontId="3" fillId="20" borderId="24" xfId="0" applyFont="1" applyFill="1" applyBorder="1" applyAlignment="1">
      <alignment vertical="center"/>
    </xf>
    <xf numFmtId="0" fontId="47" fillId="47" borderId="35" xfId="0" applyFont="1" applyFill="1" applyBorder="1" applyAlignment="1">
      <alignment horizontal="center" vertical="center" wrapText="1"/>
    </xf>
    <xf numFmtId="0" fontId="47" fillId="47" borderId="36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1" fillId="53" borderId="198" xfId="0" applyFont="1" applyFill="1" applyBorder="1" applyAlignment="1">
      <alignment horizontal="center"/>
    </xf>
    <xf numFmtId="0" fontId="1" fillId="53" borderId="214" xfId="0" applyFont="1" applyFill="1" applyBorder="1" applyAlignment="1">
      <alignment horizontal="center"/>
    </xf>
    <xf numFmtId="0" fontId="1" fillId="0" borderId="167" xfId="0" applyFont="1" applyBorder="1" applyAlignment="1">
      <alignment horizontal="center" vertical="center" wrapText="1"/>
    </xf>
    <xf numFmtId="0" fontId="3" fillId="0" borderId="21" xfId="0" applyFont="1" applyBorder="1"/>
    <xf numFmtId="0" fontId="5" fillId="22" borderId="53" xfId="0" applyFont="1" applyFill="1" applyBorder="1" applyAlignment="1">
      <alignment horizontal="center" vertical="center" wrapText="1"/>
    </xf>
    <xf numFmtId="0" fontId="3" fillId="20" borderId="54" xfId="0" applyFont="1" applyFill="1" applyBorder="1"/>
    <xf numFmtId="0" fontId="3" fillId="20" borderId="93" xfId="0" applyFont="1" applyFill="1" applyBorder="1"/>
    <xf numFmtId="0" fontId="3" fillId="20" borderId="94" xfId="0" applyFont="1" applyFill="1" applyBorder="1"/>
    <xf numFmtId="0" fontId="5" fillId="31" borderId="53" xfId="0" applyFont="1" applyFill="1" applyBorder="1" applyAlignment="1">
      <alignment horizontal="center" vertical="center" wrapText="1"/>
    </xf>
    <xf numFmtId="0" fontId="5" fillId="31" borderId="28" xfId="0" applyFont="1" applyFill="1" applyBorder="1" applyAlignment="1">
      <alignment horizontal="center" vertical="center" wrapText="1"/>
    </xf>
    <xf numFmtId="0" fontId="5" fillId="31" borderId="54" xfId="0" applyFont="1" applyFill="1" applyBorder="1" applyAlignment="1">
      <alignment horizontal="center" vertical="center" wrapText="1"/>
    </xf>
    <xf numFmtId="0" fontId="5" fillId="31" borderId="93" xfId="0" applyFont="1" applyFill="1" applyBorder="1" applyAlignment="1">
      <alignment horizontal="center" vertical="center" wrapText="1"/>
    </xf>
    <xf numFmtId="0" fontId="5" fillId="31" borderId="36" xfId="0" applyFont="1" applyFill="1" applyBorder="1" applyAlignment="1">
      <alignment horizontal="center" vertical="center" wrapText="1"/>
    </xf>
    <xf numFmtId="0" fontId="5" fillId="31" borderId="94" xfId="0" applyFont="1" applyFill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5" fillId="0" borderId="174" xfId="0" applyFont="1" applyBorder="1" applyAlignment="1">
      <alignment horizontal="center" vertical="center" wrapText="1"/>
    </xf>
    <xf numFmtId="0" fontId="1" fillId="5" borderId="149" xfId="0" applyFont="1" applyFill="1" applyBorder="1" applyAlignment="1">
      <alignment horizontal="left" vertical="center"/>
    </xf>
    <xf numFmtId="0" fontId="1" fillId="5" borderId="75" xfId="0" applyFont="1" applyFill="1" applyBorder="1" applyAlignment="1">
      <alignment horizontal="left" vertical="center"/>
    </xf>
    <xf numFmtId="0" fontId="1" fillId="0" borderId="149" xfId="0" applyFont="1" applyBorder="1" applyAlignment="1">
      <alignment horizontal="left" vertical="center"/>
    </xf>
    <xf numFmtId="1" fontId="1" fillId="0" borderId="149" xfId="0" applyNumberFormat="1" applyFont="1" applyBorder="1" applyAlignment="1">
      <alignment horizontal="center" vertical="center"/>
    </xf>
    <xf numFmtId="1" fontId="1" fillId="0" borderId="75" xfId="0" applyNumberFormat="1" applyFont="1" applyBorder="1" applyAlignment="1">
      <alignment horizontal="center" vertical="center"/>
    </xf>
    <xf numFmtId="1" fontId="1" fillId="8" borderId="150" xfId="0" applyNumberFormat="1" applyFont="1" applyFill="1" applyBorder="1" applyAlignment="1">
      <alignment horizontal="center" vertical="center"/>
    </xf>
    <xf numFmtId="1" fontId="1" fillId="8" borderId="125" xfId="0" applyNumberFormat="1" applyFont="1" applyFill="1" applyBorder="1" applyAlignment="1">
      <alignment horizontal="center" vertical="center"/>
    </xf>
    <xf numFmtId="0" fontId="22" fillId="10" borderId="30" xfId="0" applyFont="1" applyFill="1" applyBorder="1" applyAlignment="1">
      <alignment horizontal="center" vertical="center"/>
    </xf>
    <xf numFmtId="0" fontId="22" fillId="10" borderId="103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 wrapText="1"/>
    </xf>
    <xf numFmtId="0" fontId="5" fillId="10" borderId="113" xfId="0" applyFont="1" applyFill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15" borderId="44" xfId="0" applyFont="1" applyFill="1" applyBorder="1" applyAlignment="1">
      <alignment horizontal="center" vertical="center"/>
    </xf>
    <xf numFmtId="0" fontId="2" fillId="76" borderId="59" xfId="0" applyFont="1" applyFill="1" applyBorder="1" applyAlignment="1">
      <alignment horizontal="center" vertical="center"/>
    </xf>
    <xf numFmtId="0" fontId="2" fillId="15" borderId="59" xfId="0" applyFont="1" applyFill="1" applyBorder="1" applyAlignment="1">
      <alignment horizontal="center" vertical="center"/>
    </xf>
    <xf numFmtId="0" fontId="2" fillId="77" borderId="59" xfId="0" applyFont="1" applyFill="1" applyBorder="1" applyAlignment="1">
      <alignment horizontal="center" vertical="center"/>
    </xf>
    <xf numFmtId="0" fontId="8" fillId="10" borderId="75" xfId="0" applyFont="1" applyFill="1" applyBorder="1" applyAlignment="1">
      <alignment horizontal="center" vertical="center" wrapText="1"/>
    </xf>
    <xf numFmtId="0" fontId="8" fillId="10" borderId="77" xfId="0" applyFont="1" applyFill="1" applyBorder="1" applyAlignment="1">
      <alignment horizontal="center" vertical="center" wrapText="1"/>
    </xf>
  </cellXfs>
  <cellStyles count="5">
    <cellStyle name="Hipervínculo" xfId="3" builtinId="8"/>
    <cellStyle name="Moneda" xfId="4" builtinId="4"/>
    <cellStyle name="Moneda [0]" xfId="1" builtinId="7"/>
    <cellStyle name="Normal" xfId="0" builtinId="0"/>
    <cellStyle name="Porcentaje" xfId="2" builtinId="5"/>
  </cellStyles>
  <dxfs count="27"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rgb="FF336600"/>
      </font>
      <fill>
        <patternFill>
          <bgColor rgb="FFCCFF99"/>
        </patternFill>
      </fill>
    </dxf>
    <dxf>
      <font>
        <color theme="5" tint="-0.24994659260841701"/>
      </font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FF99"/>
      <color rgb="FFFEC6B4"/>
      <color rgb="FFADFA86"/>
      <color rgb="FFE6B8B7"/>
      <color rgb="FFABF3F7"/>
      <color rgb="FFFFFFCC"/>
      <color rgb="FF537C44"/>
      <color rgb="FFCDFCB6"/>
      <color rgb="FFBEECDE"/>
      <color rgb="FFC4D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476250</xdr:colOff>
      <xdr:row>77</xdr:row>
      <xdr:rowOff>0</xdr:rowOff>
    </xdr:from>
    <xdr:ext cx="0" cy="3500437"/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20693063" y="29646563"/>
          <a:ext cx="0" cy="3500437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19</xdr:col>
      <xdr:colOff>457200</xdr:colOff>
      <xdr:row>77</xdr:row>
      <xdr:rowOff>0</xdr:rowOff>
    </xdr:from>
    <xdr:ext cx="0" cy="3500437"/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24936450" y="29646563"/>
          <a:ext cx="0" cy="3500437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aovando@inaplast.cl" TargetMode="Externa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FED4-2AAB-4AE6-99C8-705D39A2FE29}">
  <sheetPr>
    <pageSetUpPr fitToPage="1"/>
  </sheetPr>
  <dimension ref="A1:AY143"/>
  <sheetViews>
    <sheetView tabSelected="1" topLeftCell="O1" zoomScale="50" zoomScaleNormal="50" workbookViewId="0">
      <pane ySplit="3" topLeftCell="A4" activePane="bottomLeft" state="frozen"/>
      <selection activeCell="F1" sqref="F1"/>
      <selection pane="bottomLeft" activeCell="W44" sqref="W44:W45"/>
    </sheetView>
  </sheetViews>
  <sheetFormatPr baseColWidth="10" defaultColWidth="11.42578125" defaultRowHeight="15"/>
  <cols>
    <col min="1" max="1" width="3.140625" style="4" customWidth="1"/>
    <col min="2" max="2" width="20.28515625" style="980" bestFit="1" customWidth="1"/>
    <col min="3" max="3" width="11.28515625" style="972" bestFit="1" customWidth="1"/>
    <col min="4" max="4" width="33" style="364" customWidth="1"/>
    <col min="5" max="5" width="26.7109375" style="364" customWidth="1"/>
    <col min="6" max="6" width="43" style="364" customWidth="1"/>
    <col min="7" max="7" width="21.5703125" style="364" customWidth="1"/>
    <col min="8" max="8" width="18.85546875" style="972" bestFit="1" customWidth="1"/>
    <col min="9" max="9" width="23.42578125" style="972" customWidth="1"/>
    <col min="10" max="10" width="16.5703125" style="972" customWidth="1"/>
    <col min="11" max="16" width="21" style="4" customWidth="1"/>
    <col min="17" max="17" width="3.85546875" style="4" customWidth="1"/>
    <col min="18" max="18" width="39.42578125" style="902" customWidth="1"/>
    <col min="19" max="19" width="5.7109375" style="902" customWidth="1"/>
    <col min="20" max="20" width="10.85546875" style="902" customWidth="1"/>
    <col min="21" max="21" width="5.7109375" style="902" customWidth="1"/>
    <col min="22" max="22" width="6.28515625" style="902" bestFit="1" customWidth="1"/>
    <col min="23" max="23" width="40.5703125" style="902" customWidth="1"/>
    <col min="24" max="24" width="5.7109375" style="902" customWidth="1"/>
    <col min="25" max="25" width="10.85546875" style="902" customWidth="1"/>
    <col min="26" max="26" width="5.7109375" style="902" customWidth="1"/>
    <col min="27" max="27" width="7" style="902" bestFit="1" customWidth="1"/>
    <col min="28" max="28" width="39.42578125" style="902" customWidth="1"/>
    <col min="29" max="29" width="5.7109375" style="902" customWidth="1"/>
    <col min="30" max="30" width="10.85546875" style="902" customWidth="1"/>
    <col min="31" max="31" width="5.7109375" style="902" customWidth="1"/>
    <col min="32" max="32" width="7" style="902" bestFit="1" customWidth="1"/>
    <col min="33" max="33" width="39.42578125" style="902" customWidth="1"/>
    <col min="34" max="34" width="5.7109375" style="902" customWidth="1"/>
    <col min="35" max="35" width="10.85546875" style="902" customWidth="1"/>
    <col min="36" max="36" width="5.7109375" style="902" customWidth="1"/>
    <col min="37" max="37" width="7" style="902" bestFit="1" customWidth="1"/>
    <col min="38" max="38" width="39.42578125" style="902" customWidth="1"/>
    <col min="39" max="39" width="5.7109375" style="902" customWidth="1"/>
    <col min="40" max="40" width="10.85546875" style="902" customWidth="1"/>
    <col min="41" max="41" width="5.7109375" style="902" customWidth="1"/>
    <col min="42" max="42" width="7" style="902" bestFit="1" customWidth="1"/>
    <col min="43" max="43" width="39.42578125" style="902" customWidth="1"/>
    <col min="44" max="44" width="7.5703125" style="902" bestFit="1" customWidth="1"/>
    <col min="45" max="45" width="21.85546875" style="1507" customWidth="1"/>
    <col min="46" max="16384" width="11.42578125" style="4"/>
  </cols>
  <sheetData>
    <row r="1" spans="2:45" ht="15.75" thickBot="1">
      <c r="B1" s="980" t="s">
        <v>1026</v>
      </c>
      <c r="C1" s="364">
        <v>3</v>
      </c>
      <c r="D1" s="364">
        <v>1</v>
      </c>
      <c r="H1" s="364">
        <v>2</v>
      </c>
    </row>
    <row r="2" spans="2:45" ht="60.75" customHeight="1" thickBot="1">
      <c r="C2" s="1191"/>
      <c r="D2" s="2065" t="s">
        <v>1001</v>
      </c>
      <c r="E2" s="2066"/>
      <c r="F2" s="2106" t="s">
        <v>1047</v>
      </c>
      <c r="G2" s="2107"/>
      <c r="H2" s="2107"/>
      <c r="I2" s="2107"/>
      <c r="J2" s="2107"/>
      <c r="K2" s="2107"/>
      <c r="L2" s="2107"/>
      <c r="M2" s="2107"/>
      <c r="N2" s="2108" t="str">
        <f>"• = día(s) recepción habitual             x = día recepción esta semana"</f>
        <v>• = día(s) recepción habitual             x = día recepción esta semana</v>
      </c>
      <c r="O2" s="2108"/>
      <c r="P2" s="2109"/>
      <c r="R2" s="2038" t="s">
        <v>1264</v>
      </c>
      <c r="S2" s="2039"/>
      <c r="T2" s="2039"/>
      <c r="U2" s="2039"/>
      <c r="V2" s="2039"/>
      <c r="W2" s="2039"/>
      <c r="X2" s="2039"/>
      <c r="Y2" s="2039"/>
      <c r="Z2" s="2039"/>
      <c r="AA2" s="2039"/>
      <c r="AB2" s="2039"/>
      <c r="AC2" s="2039"/>
      <c r="AD2" s="2039"/>
      <c r="AE2" s="2039"/>
      <c r="AF2" s="2039"/>
      <c r="AG2" s="2039"/>
      <c r="AH2" s="2039"/>
      <c r="AI2" s="2039"/>
      <c r="AJ2" s="2039"/>
      <c r="AK2" s="2039"/>
      <c r="AL2" s="2039"/>
      <c r="AM2" s="2039"/>
      <c r="AN2" s="2039"/>
      <c r="AO2" s="2039"/>
      <c r="AP2" s="2039"/>
      <c r="AQ2" s="2039"/>
      <c r="AR2" s="2040"/>
    </row>
    <row r="3" spans="2:45" ht="51.75" customHeight="1" thickBot="1">
      <c r="C3" s="1186" t="s">
        <v>1018</v>
      </c>
      <c r="D3" s="1188" t="s">
        <v>1010</v>
      </c>
      <c r="E3" s="1188" t="s">
        <v>1161</v>
      </c>
      <c r="F3" s="1188" t="s">
        <v>979</v>
      </c>
      <c r="G3" s="1224" t="s">
        <v>1171</v>
      </c>
      <c r="H3" s="1187" t="s">
        <v>1002</v>
      </c>
      <c r="I3" s="1187" t="s">
        <v>1025</v>
      </c>
      <c r="J3" s="1216" t="s">
        <v>1148</v>
      </c>
      <c r="K3" s="1189" t="s">
        <v>3</v>
      </c>
      <c r="L3" s="1189" t="s">
        <v>723</v>
      </c>
      <c r="M3" s="1189" t="s">
        <v>724</v>
      </c>
      <c r="N3" s="1189" t="s">
        <v>4</v>
      </c>
      <c r="O3" s="1189" t="s">
        <v>969</v>
      </c>
      <c r="P3" s="1190" t="s">
        <v>970</v>
      </c>
      <c r="Q3" s="1533"/>
      <c r="AS3" s="1534"/>
    </row>
    <row r="4" spans="2:45" s="971" customFormat="1" ht="12.75" customHeight="1" thickBot="1">
      <c r="B4" s="1984">
        <v>1</v>
      </c>
      <c r="C4" s="2100"/>
      <c r="D4" s="2057" t="s">
        <v>1003</v>
      </c>
      <c r="E4" s="2057" t="s">
        <v>9</v>
      </c>
      <c r="F4" s="2051" t="s">
        <v>963</v>
      </c>
      <c r="G4" s="2051" t="s">
        <v>1003</v>
      </c>
      <c r="H4" s="2095" t="s">
        <v>1011</v>
      </c>
      <c r="I4" s="2002"/>
      <c r="J4" s="2002"/>
      <c r="K4" s="1217" t="s">
        <v>1000</v>
      </c>
      <c r="L4" s="1217" t="s">
        <v>1000</v>
      </c>
      <c r="M4" s="1217" t="s">
        <v>1000</v>
      </c>
      <c r="N4" s="1217" t="s">
        <v>1000</v>
      </c>
      <c r="O4" s="1217" t="s">
        <v>1000</v>
      </c>
      <c r="P4" s="1223" t="s">
        <v>1000</v>
      </c>
      <c r="Q4" s="1535"/>
      <c r="R4" s="902"/>
      <c r="S4" s="902"/>
      <c r="T4" s="902"/>
      <c r="U4" s="902"/>
      <c r="V4" s="902"/>
      <c r="W4" s="902"/>
      <c r="X4" s="902"/>
      <c r="Y4" s="902"/>
      <c r="Z4" s="902"/>
      <c r="AA4" s="902"/>
      <c r="AB4" s="902"/>
      <c r="AC4" s="902"/>
      <c r="AD4" s="902"/>
      <c r="AE4" s="902"/>
      <c r="AF4" s="902"/>
      <c r="AG4" s="902"/>
      <c r="AH4" s="902"/>
      <c r="AI4" s="902"/>
      <c r="AJ4" s="902"/>
      <c r="AK4" s="902"/>
      <c r="AL4" s="902"/>
      <c r="AM4" s="902"/>
      <c r="AN4" s="902"/>
      <c r="AO4" s="902"/>
      <c r="AP4" s="902"/>
      <c r="AQ4" s="902"/>
      <c r="AR4" s="902"/>
      <c r="AS4" s="1536"/>
    </row>
    <row r="5" spans="2:45" ht="30" customHeight="1" thickBot="1">
      <c r="B5" s="1984"/>
      <c r="C5" s="2076"/>
      <c r="D5" s="2058"/>
      <c r="E5" s="2058"/>
      <c r="F5" s="2052"/>
      <c r="G5" s="2052"/>
      <c r="H5" s="2001"/>
      <c r="I5" s="2003"/>
      <c r="J5" s="2003"/>
      <c r="K5" s="1041"/>
      <c r="L5" s="1041"/>
      <c r="M5" s="1041"/>
      <c r="N5" s="1041"/>
      <c r="O5" s="1041"/>
      <c r="P5" s="1042"/>
      <c r="R5" s="1537" t="s">
        <v>3</v>
      </c>
      <c r="W5" s="1537" t="s">
        <v>723</v>
      </c>
      <c r="AB5" s="1537" t="s">
        <v>724</v>
      </c>
      <c r="AG5" s="1537" t="s">
        <v>4</v>
      </c>
      <c r="AL5" s="1537" t="s">
        <v>969</v>
      </c>
      <c r="AQ5" s="1537" t="s">
        <v>970</v>
      </c>
      <c r="AS5" s="1536"/>
    </row>
    <row r="6" spans="2:45" s="971" customFormat="1" ht="12.75" customHeight="1" thickBot="1">
      <c r="B6" s="1984">
        <v>2</v>
      </c>
      <c r="C6" s="2075"/>
      <c r="D6" s="2104" t="s">
        <v>3</v>
      </c>
      <c r="E6" s="2071">
        <v>0.45833333333333331</v>
      </c>
      <c r="F6" s="2053" t="s">
        <v>976</v>
      </c>
      <c r="G6" s="2053" t="s">
        <v>723</v>
      </c>
      <c r="H6" s="2000" t="s">
        <v>1012</v>
      </c>
      <c r="I6" s="2084"/>
      <c r="J6" s="2084"/>
      <c r="K6" s="998"/>
      <c r="L6" s="998" t="s">
        <v>1000</v>
      </c>
      <c r="M6" s="998"/>
      <c r="N6" s="998"/>
      <c r="O6" s="998" t="s">
        <v>1000</v>
      </c>
      <c r="P6" s="999"/>
      <c r="Q6" s="1535"/>
      <c r="R6" s="1549"/>
      <c r="S6" s="1549"/>
      <c r="T6" s="1549"/>
      <c r="U6" s="1549"/>
      <c r="V6" s="1549"/>
      <c r="W6" s="1549"/>
      <c r="X6" s="1549"/>
      <c r="Y6" s="1549"/>
      <c r="Z6" s="1549"/>
      <c r="AA6" s="1536"/>
      <c r="AB6" s="1549"/>
      <c r="AC6" s="1549"/>
      <c r="AD6" s="1549"/>
      <c r="AE6" s="1549"/>
      <c r="AF6" s="1536"/>
      <c r="AG6" s="1549"/>
      <c r="AH6" s="1549"/>
      <c r="AI6" s="1549"/>
      <c r="AJ6" s="1549"/>
      <c r="AK6" s="1536"/>
      <c r="AL6" s="1549"/>
      <c r="AM6" s="1549"/>
      <c r="AN6" s="1549"/>
      <c r="AO6" s="1549"/>
      <c r="AP6" s="1536"/>
      <c r="AQ6" s="1536"/>
      <c r="AR6" s="1536"/>
      <c r="AS6" s="1538"/>
    </row>
    <row r="7" spans="2:45" ht="30" customHeight="1" thickBot="1">
      <c r="B7" s="1984"/>
      <c r="C7" s="2076"/>
      <c r="D7" s="2072"/>
      <c r="E7" s="2072"/>
      <c r="F7" s="2054"/>
      <c r="G7" s="2054"/>
      <c r="H7" s="2001"/>
      <c r="I7" s="2085"/>
      <c r="J7" s="2085"/>
      <c r="K7" s="994"/>
      <c r="L7" s="994"/>
      <c r="M7" s="994"/>
      <c r="N7" s="994"/>
      <c r="O7" s="994"/>
      <c r="P7" s="995"/>
      <c r="Q7" s="88"/>
      <c r="R7" s="2045" t="s">
        <v>1193</v>
      </c>
      <c r="S7" s="2046"/>
      <c r="T7" s="2046"/>
      <c r="U7" s="2047"/>
      <c r="V7" s="1760" t="s">
        <v>1364</v>
      </c>
      <c r="W7" s="2045" t="s">
        <v>1193</v>
      </c>
      <c r="X7" s="2046"/>
      <c r="Y7" s="2046"/>
      <c r="Z7" s="2047"/>
      <c r="AA7" s="1760" t="s">
        <v>1364</v>
      </c>
      <c r="AB7" s="2045" t="s">
        <v>1193</v>
      </c>
      <c r="AC7" s="2046"/>
      <c r="AD7" s="2046"/>
      <c r="AE7" s="2047"/>
      <c r="AF7" s="1760" t="s">
        <v>1364</v>
      </c>
      <c r="AG7" s="2045" t="s">
        <v>1193</v>
      </c>
      <c r="AH7" s="2046"/>
      <c r="AI7" s="2046"/>
      <c r="AJ7" s="2047"/>
      <c r="AK7" s="1760" t="s">
        <v>1364</v>
      </c>
      <c r="AL7" s="2045" t="s">
        <v>1193</v>
      </c>
      <c r="AM7" s="2046"/>
      <c r="AN7" s="2046"/>
      <c r="AO7" s="2047"/>
      <c r="AP7" s="1731" t="s">
        <v>1364</v>
      </c>
      <c r="AQ7" s="2048" t="s">
        <v>1193</v>
      </c>
      <c r="AR7" s="2049"/>
      <c r="AS7" s="1538"/>
    </row>
    <row r="8" spans="2:45" s="971" customFormat="1" ht="12.75" customHeight="1">
      <c r="B8" s="1984">
        <v>3</v>
      </c>
      <c r="C8" s="2075"/>
      <c r="D8" s="2080" t="s">
        <v>3</v>
      </c>
      <c r="E8" s="2059">
        <v>0.45833333333333331</v>
      </c>
      <c r="F8" s="1998" t="s">
        <v>971</v>
      </c>
      <c r="G8" s="1998" t="s">
        <v>723</v>
      </c>
      <c r="H8" s="2000" t="s">
        <v>1012</v>
      </c>
      <c r="I8" s="2002"/>
      <c r="J8" s="2002"/>
      <c r="K8" s="1043"/>
      <c r="L8" s="1043" t="s">
        <v>1000</v>
      </c>
      <c r="M8" s="1043" t="s">
        <v>1000</v>
      </c>
      <c r="N8" s="1043" t="s">
        <v>1000</v>
      </c>
      <c r="O8" s="1043"/>
      <c r="P8" s="1044"/>
      <c r="Q8" s="88"/>
      <c r="R8" s="2031" t="s">
        <v>1238</v>
      </c>
      <c r="S8" s="2120">
        <v>5</v>
      </c>
      <c r="T8" s="2121"/>
      <c r="U8" s="2122"/>
      <c r="V8" s="2211"/>
      <c r="W8" s="2031" t="s">
        <v>1238</v>
      </c>
      <c r="X8" s="2120">
        <v>5</v>
      </c>
      <c r="Y8" s="2121"/>
      <c r="Z8" s="2122"/>
      <c r="AA8" s="2211"/>
      <c r="AB8" s="2031" t="s">
        <v>1238</v>
      </c>
      <c r="AC8" s="2120">
        <v>5</v>
      </c>
      <c r="AD8" s="2121"/>
      <c r="AE8" s="2122"/>
      <c r="AF8" s="2211"/>
      <c r="AG8" s="2031" t="s">
        <v>1238</v>
      </c>
      <c r="AH8" s="2120">
        <v>5</v>
      </c>
      <c r="AI8" s="2121"/>
      <c r="AJ8" s="2122"/>
      <c r="AK8" s="2211"/>
      <c r="AL8" s="2031" t="s">
        <v>1238</v>
      </c>
      <c r="AM8" s="2120">
        <v>5</v>
      </c>
      <c r="AN8" s="2121"/>
      <c r="AO8" s="2122"/>
      <c r="AP8" s="2034"/>
      <c r="AQ8" s="2145"/>
      <c r="AR8" s="2118"/>
      <c r="AS8" s="1538"/>
    </row>
    <row r="9" spans="2:45" ht="30" customHeight="1" thickBot="1">
      <c r="B9" s="1984"/>
      <c r="C9" s="2076"/>
      <c r="D9" s="2060"/>
      <c r="E9" s="2060"/>
      <c r="F9" s="1999"/>
      <c r="G9" s="1999"/>
      <c r="H9" s="2001"/>
      <c r="I9" s="2003"/>
      <c r="J9" s="2003"/>
      <c r="K9" s="1041"/>
      <c r="L9" s="1041"/>
      <c r="M9" s="1041"/>
      <c r="N9" s="1041"/>
      <c r="O9" s="1041"/>
      <c r="P9" s="1042"/>
      <c r="Q9" s="88"/>
      <c r="R9" s="1991"/>
      <c r="S9" s="1987"/>
      <c r="T9" s="2050"/>
      <c r="U9" s="1988"/>
      <c r="V9" s="2175"/>
      <c r="W9" s="1991"/>
      <c r="X9" s="1987"/>
      <c r="Y9" s="2050"/>
      <c r="Z9" s="1988"/>
      <c r="AA9" s="2175"/>
      <c r="AB9" s="1991"/>
      <c r="AC9" s="1987"/>
      <c r="AD9" s="2050"/>
      <c r="AE9" s="1988"/>
      <c r="AF9" s="2175"/>
      <c r="AG9" s="1991"/>
      <c r="AH9" s="1987"/>
      <c r="AI9" s="2050"/>
      <c r="AJ9" s="1988"/>
      <c r="AK9" s="2175"/>
      <c r="AL9" s="1991"/>
      <c r="AM9" s="1987"/>
      <c r="AN9" s="2050"/>
      <c r="AO9" s="1988"/>
      <c r="AP9" s="2035"/>
      <c r="AQ9" s="2006"/>
      <c r="AR9" s="2119"/>
      <c r="AS9" s="1538"/>
    </row>
    <row r="10" spans="2:45" s="971" customFormat="1" ht="12.75" customHeight="1">
      <c r="B10" s="1984">
        <v>4</v>
      </c>
      <c r="C10" s="1993"/>
      <c r="D10" s="2080" t="s">
        <v>3</v>
      </c>
      <c r="E10" s="2059">
        <v>0.45833333333333331</v>
      </c>
      <c r="F10" s="2051" t="s">
        <v>972</v>
      </c>
      <c r="G10" s="2051" t="s">
        <v>724</v>
      </c>
      <c r="H10" s="2000" t="s">
        <v>1014</v>
      </c>
      <c r="I10" s="2084"/>
      <c r="J10" s="2084"/>
      <c r="K10" s="998"/>
      <c r="L10" s="998" t="s">
        <v>1000</v>
      </c>
      <c r="M10" s="998" t="s">
        <v>1000</v>
      </c>
      <c r="N10" s="998" t="s">
        <v>1000</v>
      </c>
      <c r="O10" s="998" t="s">
        <v>1000</v>
      </c>
      <c r="P10" s="999"/>
      <c r="Q10" s="1764"/>
      <c r="R10" s="2014" t="s">
        <v>1194</v>
      </c>
      <c r="S10" s="1989">
        <v>20</v>
      </c>
      <c r="T10" s="2043"/>
      <c r="U10" s="1990"/>
      <c r="V10" s="2043"/>
      <c r="W10" s="2014" t="s">
        <v>1194</v>
      </c>
      <c r="X10" s="1989">
        <v>20</v>
      </c>
      <c r="Y10" s="2043"/>
      <c r="Z10" s="1990"/>
      <c r="AA10" s="2043"/>
      <c r="AB10" s="2014" t="s">
        <v>1194</v>
      </c>
      <c r="AC10" s="1989">
        <v>20</v>
      </c>
      <c r="AD10" s="2043"/>
      <c r="AE10" s="1990"/>
      <c r="AF10" s="2043"/>
      <c r="AG10" s="2014" t="s">
        <v>1194</v>
      </c>
      <c r="AH10" s="1989">
        <v>20</v>
      </c>
      <c r="AI10" s="2043"/>
      <c r="AJ10" s="1990"/>
      <c r="AK10" s="2043"/>
      <c r="AL10" s="2014" t="s">
        <v>1194</v>
      </c>
      <c r="AM10" s="1989">
        <v>20</v>
      </c>
      <c r="AN10" s="2043"/>
      <c r="AO10" s="1990"/>
      <c r="AP10" s="2146"/>
      <c r="AQ10" s="1988"/>
      <c r="AR10" s="2118"/>
      <c r="AS10" s="1538"/>
    </row>
    <row r="11" spans="2:45" ht="30" customHeight="1" thickBot="1">
      <c r="B11" s="1984"/>
      <c r="C11" s="1994"/>
      <c r="D11" s="2060"/>
      <c r="E11" s="2060"/>
      <c r="F11" s="2052"/>
      <c r="G11" s="2052"/>
      <c r="H11" s="2001"/>
      <c r="I11" s="2085"/>
      <c r="J11" s="2085"/>
      <c r="K11" s="994"/>
      <c r="L11" s="994"/>
      <c r="M11" s="994"/>
      <c r="N11" s="994"/>
      <c r="O11" s="994"/>
      <c r="P11" s="995"/>
      <c r="Q11" s="88"/>
      <c r="R11" s="1991"/>
      <c r="S11" s="1987"/>
      <c r="T11" s="2050"/>
      <c r="U11" s="1988"/>
      <c r="V11" s="2050"/>
      <c r="W11" s="1991"/>
      <c r="X11" s="1987"/>
      <c r="Y11" s="2050"/>
      <c r="Z11" s="1988"/>
      <c r="AA11" s="2050"/>
      <c r="AB11" s="1991"/>
      <c r="AC11" s="1987"/>
      <c r="AD11" s="2050"/>
      <c r="AE11" s="1988"/>
      <c r="AF11" s="2050"/>
      <c r="AG11" s="1991"/>
      <c r="AH11" s="1987"/>
      <c r="AI11" s="2050"/>
      <c r="AJ11" s="1988"/>
      <c r="AK11" s="2050"/>
      <c r="AL11" s="1991"/>
      <c r="AM11" s="1987"/>
      <c r="AN11" s="2050"/>
      <c r="AO11" s="1988"/>
      <c r="AP11" s="2147"/>
      <c r="AQ11" s="2006"/>
      <c r="AR11" s="2119"/>
      <c r="AS11" s="1538"/>
    </row>
    <row r="12" spans="2:45" s="971" customFormat="1" ht="12.75" customHeight="1">
      <c r="B12" s="1984">
        <v>5</v>
      </c>
      <c r="C12" s="2075"/>
      <c r="D12" s="2080" t="s">
        <v>3</v>
      </c>
      <c r="E12" s="2059">
        <v>0.45833333333333331</v>
      </c>
      <c r="F12" s="1998" t="s">
        <v>1137</v>
      </c>
      <c r="G12" s="1998" t="s">
        <v>723</v>
      </c>
      <c r="H12" s="2000" t="s">
        <v>1012</v>
      </c>
      <c r="I12" s="2002"/>
      <c r="J12" s="2002"/>
      <c r="K12" s="1217"/>
      <c r="L12" s="1043" t="s">
        <v>1000</v>
      </c>
      <c r="M12" s="1043"/>
      <c r="N12" s="1043"/>
      <c r="O12" s="1043"/>
      <c r="P12" s="1044"/>
      <c r="Q12" s="1764"/>
      <c r="R12" s="1991" t="s">
        <v>1195</v>
      </c>
      <c r="S12" s="1985">
        <v>15</v>
      </c>
      <c r="T12" s="2042"/>
      <c r="U12" s="1986"/>
      <c r="V12" s="2042"/>
      <c r="W12" s="1991" t="s">
        <v>1195</v>
      </c>
      <c r="X12" s="1985">
        <v>15</v>
      </c>
      <c r="Y12" s="2042"/>
      <c r="Z12" s="1986"/>
      <c r="AA12" s="2042"/>
      <c r="AB12" s="1991" t="s">
        <v>1195</v>
      </c>
      <c r="AC12" s="1985">
        <v>15</v>
      </c>
      <c r="AD12" s="2042"/>
      <c r="AE12" s="1986"/>
      <c r="AF12" s="2042"/>
      <c r="AG12" s="1991" t="s">
        <v>1195</v>
      </c>
      <c r="AH12" s="1985">
        <v>15</v>
      </c>
      <c r="AI12" s="2042"/>
      <c r="AJ12" s="1986"/>
      <c r="AK12" s="2042"/>
      <c r="AL12" s="1991" t="s">
        <v>1195</v>
      </c>
      <c r="AM12" s="1985">
        <v>15</v>
      </c>
      <c r="AN12" s="2042"/>
      <c r="AO12" s="1986"/>
      <c r="AP12" s="2160"/>
      <c r="AQ12" s="2006"/>
      <c r="AR12" s="2119"/>
      <c r="AS12" s="1538"/>
    </row>
    <row r="13" spans="2:45" ht="30" customHeight="1" thickBot="1">
      <c r="B13" s="1984"/>
      <c r="C13" s="2076"/>
      <c r="D13" s="2060"/>
      <c r="E13" s="2060"/>
      <c r="F13" s="1999"/>
      <c r="G13" s="1999"/>
      <c r="H13" s="2001"/>
      <c r="I13" s="2003"/>
      <c r="J13" s="2003"/>
      <c r="K13" s="1041"/>
      <c r="L13" s="1041"/>
      <c r="M13" s="1041"/>
      <c r="N13" s="1041"/>
      <c r="O13" s="1041"/>
      <c r="P13" s="1042"/>
      <c r="Q13" s="88"/>
      <c r="R13" s="2044"/>
      <c r="S13" s="1989"/>
      <c r="T13" s="2043"/>
      <c r="U13" s="1990"/>
      <c r="V13" s="2043"/>
      <c r="W13" s="2044"/>
      <c r="X13" s="1989"/>
      <c r="Y13" s="2043"/>
      <c r="Z13" s="1990"/>
      <c r="AA13" s="2043"/>
      <c r="AB13" s="2044"/>
      <c r="AC13" s="1989"/>
      <c r="AD13" s="2043"/>
      <c r="AE13" s="1990"/>
      <c r="AF13" s="2043"/>
      <c r="AG13" s="2044"/>
      <c r="AH13" s="1989"/>
      <c r="AI13" s="2043"/>
      <c r="AJ13" s="1990"/>
      <c r="AK13" s="2043"/>
      <c r="AL13" s="2044"/>
      <c r="AM13" s="1989"/>
      <c r="AN13" s="2043"/>
      <c r="AO13" s="1990"/>
      <c r="AP13" s="2146"/>
      <c r="AQ13" s="1986"/>
      <c r="AR13" s="2130"/>
      <c r="AS13" s="1538"/>
    </row>
    <row r="14" spans="2:45" s="971" customFormat="1" ht="12.75" customHeight="1">
      <c r="B14" s="1984">
        <v>6</v>
      </c>
      <c r="C14" s="2075"/>
      <c r="D14" s="2080" t="s">
        <v>3</v>
      </c>
      <c r="E14" s="2059">
        <v>0.45833333333333331</v>
      </c>
      <c r="F14" s="1998" t="s">
        <v>1156</v>
      </c>
      <c r="G14" s="1998" t="s">
        <v>723</v>
      </c>
      <c r="H14" s="2000" t="s">
        <v>1012</v>
      </c>
      <c r="I14" s="2084"/>
      <c r="J14" s="2084"/>
      <c r="K14" s="998"/>
      <c r="L14" s="998" t="s">
        <v>1000</v>
      </c>
      <c r="M14" s="998"/>
      <c r="N14" s="998" t="s">
        <v>1000</v>
      </c>
      <c r="O14" s="998"/>
      <c r="P14" s="999" t="s">
        <v>1000</v>
      </c>
      <c r="Q14" s="1764"/>
      <c r="R14" s="1991" t="s">
        <v>1237</v>
      </c>
      <c r="S14" s="1985">
        <v>5</v>
      </c>
      <c r="T14" s="2042"/>
      <c r="U14" s="1986"/>
      <c r="V14" s="2042"/>
      <c r="W14" s="1991" t="s">
        <v>1237</v>
      </c>
      <c r="X14" s="1985">
        <v>5</v>
      </c>
      <c r="Y14" s="2042"/>
      <c r="Z14" s="1986"/>
      <c r="AA14" s="2042"/>
      <c r="AB14" s="1991" t="s">
        <v>1237</v>
      </c>
      <c r="AC14" s="1985">
        <v>5</v>
      </c>
      <c r="AD14" s="2042"/>
      <c r="AE14" s="1986"/>
      <c r="AF14" s="2042"/>
      <c r="AG14" s="1991" t="s">
        <v>1237</v>
      </c>
      <c r="AH14" s="1985">
        <v>5</v>
      </c>
      <c r="AI14" s="2042"/>
      <c r="AJ14" s="1986"/>
      <c r="AK14" s="2042"/>
      <c r="AL14" s="1991" t="s">
        <v>1237</v>
      </c>
      <c r="AM14" s="1985">
        <v>5</v>
      </c>
      <c r="AN14" s="2042"/>
      <c r="AO14" s="1986"/>
      <c r="AP14" s="2160"/>
      <c r="AQ14" s="2006"/>
      <c r="AR14" s="2119"/>
      <c r="AS14" s="1771"/>
    </row>
    <row r="15" spans="2:45" ht="30" customHeight="1" thickBot="1">
      <c r="B15" s="1984"/>
      <c r="C15" s="2076"/>
      <c r="D15" s="2060"/>
      <c r="E15" s="2060"/>
      <c r="F15" s="1999"/>
      <c r="G15" s="1999"/>
      <c r="H15" s="2001"/>
      <c r="I15" s="2085"/>
      <c r="J15" s="2085"/>
      <c r="K15" s="994"/>
      <c r="L15" s="994"/>
      <c r="M15" s="994"/>
      <c r="N15" s="994"/>
      <c r="O15" s="994"/>
      <c r="P15" s="995"/>
      <c r="Q15" s="88"/>
      <c r="R15" s="2015"/>
      <c r="S15" s="2131"/>
      <c r="T15" s="2132"/>
      <c r="U15" s="2133"/>
      <c r="V15" s="2132"/>
      <c r="W15" s="2015"/>
      <c r="X15" s="2131"/>
      <c r="Y15" s="2132"/>
      <c r="Z15" s="2133"/>
      <c r="AA15" s="2132"/>
      <c r="AB15" s="2015"/>
      <c r="AC15" s="2131"/>
      <c r="AD15" s="2132"/>
      <c r="AE15" s="2133"/>
      <c r="AF15" s="2132"/>
      <c r="AG15" s="2015"/>
      <c r="AH15" s="2131"/>
      <c r="AI15" s="2132"/>
      <c r="AJ15" s="2133"/>
      <c r="AK15" s="2132"/>
      <c r="AL15" s="2015"/>
      <c r="AM15" s="2131"/>
      <c r="AN15" s="2132"/>
      <c r="AO15" s="2133"/>
      <c r="AP15" s="2213"/>
      <c r="AQ15" s="2134"/>
      <c r="AR15" s="2135"/>
      <c r="AS15" s="1771"/>
    </row>
    <row r="16" spans="2:45" s="971" customFormat="1" ht="12.75" customHeight="1">
      <c r="B16" s="1984">
        <v>7</v>
      </c>
      <c r="C16" s="2075"/>
      <c r="D16" s="2080" t="s">
        <v>3</v>
      </c>
      <c r="E16" s="2059">
        <v>0.45833333333333331</v>
      </c>
      <c r="F16" s="1998" t="s">
        <v>967</v>
      </c>
      <c r="G16" s="1998" t="s">
        <v>723</v>
      </c>
      <c r="H16" s="2000" t="s">
        <v>1012</v>
      </c>
      <c r="I16" s="2002"/>
      <c r="J16" s="2002"/>
      <c r="K16" s="1043"/>
      <c r="L16" s="1043" t="s">
        <v>1000</v>
      </c>
      <c r="M16" s="1043"/>
      <c r="N16" s="1043"/>
      <c r="O16" s="1043"/>
      <c r="P16" s="1044"/>
      <c r="Q16" s="1764"/>
      <c r="R16" s="2123" t="s">
        <v>1240</v>
      </c>
      <c r="S16" s="1989">
        <v>15</v>
      </c>
      <c r="T16" s="2043"/>
      <c r="U16" s="1990"/>
      <c r="V16" s="2043"/>
      <c r="W16" s="2125" t="s">
        <v>1241</v>
      </c>
      <c r="X16" s="1989">
        <v>25</v>
      </c>
      <c r="Y16" s="2043"/>
      <c r="Z16" s="1990"/>
      <c r="AA16" s="2043"/>
      <c r="AB16" s="2123" t="s">
        <v>1242</v>
      </c>
      <c r="AC16" s="1989">
        <v>15</v>
      </c>
      <c r="AD16" s="2043"/>
      <c r="AE16" s="1990"/>
      <c r="AF16" s="2043"/>
      <c r="AG16" s="2127" t="s">
        <v>1239</v>
      </c>
      <c r="AH16" s="1989">
        <v>30</v>
      </c>
      <c r="AI16" s="2043"/>
      <c r="AJ16" s="1990"/>
      <c r="AK16" s="2043"/>
      <c r="AL16" s="2123" t="s">
        <v>1196</v>
      </c>
      <c r="AM16" s="1989">
        <v>15</v>
      </c>
      <c r="AN16" s="2043"/>
      <c r="AO16" s="1990"/>
      <c r="AP16" s="2146"/>
      <c r="AQ16" s="1988"/>
      <c r="AR16" s="2129"/>
      <c r="AS16" s="1538"/>
    </row>
    <row r="17" spans="1:51" ht="30" customHeight="1" thickBot="1">
      <c r="B17" s="1984"/>
      <c r="C17" s="2076"/>
      <c r="D17" s="2060"/>
      <c r="E17" s="2060"/>
      <c r="F17" s="1999"/>
      <c r="G17" s="1999"/>
      <c r="H17" s="2001"/>
      <c r="I17" s="2003"/>
      <c r="J17" s="2003"/>
      <c r="K17" s="1041"/>
      <c r="L17" s="1041"/>
      <c r="M17" s="1041"/>
      <c r="N17" s="1041"/>
      <c r="O17" s="1041"/>
      <c r="P17" s="1042"/>
      <c r="Q17" s="88"/>
      <c r="R17" s="2124"/>
      <c r="S17" s="1987"/>
      <c r="T17" s="2050"/>
      <c r="U17" s="1988"/>
      <c r="V17" s="2050"/>
      <c r="W17" s="2126"/>
      <c r="X17" s="1987"/>
      <c r="Y17" s="2050"/>
      <c r="Z17" s="1988"/>
      <c r="AA17" s="2050"/>
      <c r="AB17" s="2124"/>
      <c r="AC17" s="1987"/>
      <c r="AD17" s="2050"/>
      <c r="AE17" s="1988"/>
      <c r="AF17" s="2050"/>
      <c r="AG17" s="2128"/>
      <c r="AH17" s="1987"/>
      <c r="AI17" s="2050"/>
      <c r="AJ17" s="1988"/>
      <c r="AK17" s="2050"/>
      <c r="AL17" s="2124"/>
      <c r="AM17" s="1987"/>
      <c r="AN17" s="2050"/>
      <c r="AO17" s="1988"/>
      <c r="AP17" s="2147"/>
      <c r="AQ17" s="2006"/>
      <c r="AR17" s="2119"/>
      <c r="AS17" s="1538"/>
    </row>
    <row r="18" spans="1:51" s="971" customFormat="1" ht="12.75" customHeight="1">
      <c r="B18" s="1984">
        <v>8</v>
      </c>
      <c r="C18" s="1993"/>
      <c r="D18" s="2080" t="s">
        <v>3</v>
      </c>
      <c r="E18" s="2059">
        <v>0.45833333333333331</v>
      </c>
      <c r="F18" s="1998" t="s">
        <v>1040</v>
      </c>
      <c r="G18" s="1998" t="s">
        <v>723</v>
      </c>
      <c r="H18" s="2000" t="s">
        <v>1012</v>
      </c>
      <c r="I18" s="2084"/>
      <c r="J18" s="2084"/>
      <c r="K18" s="998"/>
      <c r="L18" s="998"/>
      <c r="M18" s="998" t="s">
        <v>1000</v>
      </c>
      <c r="N18" s="998"/>
      <c r="O18" s="998"/>
      <c r="P18" s="999"/>
      <c r="Q18" s="1764"/>
      <c r="R18" s="1991"/>
      <c r="S18" s="1985"/>
      <c r="T18" s="2042"/>
      <c r="U18" s="1986"/>
      <c r="V18" s="2175"/>
      <c r="W18" s="1991"/>
      <c r="X18" s="1985"/>
      <c r="Y18" s="2042"/>
      <c r="Z18" s="1986"/>
      <c r="AA18" s="2175"/>
      <c r="AB18" s="1991" t="s">
        <v>1297</v>
      </c>
      <c r="AC18" s="1985">
        <v>30</v>
      </c>
      <c r="AD18" s="2042"/>
      <c r="AE18" s="1986"/>
      <c r="AF18" s="2175"/>
      <c r="AG18" s="1991"/>
      <c r="AH18" s="1985"/>
      <c r="AI18" s="2042"/>
      <c r="AJ18" s="1986"/>
      <c r="AK18" s="2175"/>
      <c r="AL18" s="1991" t="s">
        <v>1297</v>
      </c>
      <c r="AM18" s="1985">
        <v>30</v>
      </c>
      <c r="AN18" s="2042"/>
      <c r="AO18" s="1986"/>
      <c r="AP18" s="2035"/>
      <c r="AQ18" s="2006"/>
      <c r="AR18" s="2119"/>
      <c r="AS18" s="1538"/>
    </row>
    <row r="19" spans="1:51" ht="30" customHeight="1" thickBot="1">
      <c r="B19" s="1984"/>
      <c r="C19" s="1994"/>
      <c r="D19" s="2060"/>
      <c r="E19" s="2060"/>
      <c r="F19" s="1999"/>
      <c r="G19" s="1999"/>
      <c r="H19" s="2001"/>
      <c r="I19" s="2085"/>
      <c r="J19" s="2085"/>
      <c r="K19" s="994"/>
      <c r="L19" s="994"/>
      <c r="M19" s="994"/>
      <c r="N19" s="994"/>
      <c r="O19" s="994"/>
      <c r="P19" s="995"/>
      <c r="Q19" s="88"/>
      <c r="R19" s="1991"/>
      <c r="S19" s="1987"/>
      <c r="T19" s="2050"/>
      <c r="U19" s="1988"/>
      <c r="V19" s="2175"/>
      <c r="W19" s="1991"/>
      <c r="X19" s="1987"/>
      <c r="Y19" s="2050"/>
      <c r="Z19" s="1988"/>
      <c r="AA19" s="2175"/>
      <c r="AB19" s="2014"/>
      <c r="AC19" s="1987"/>
      <c r="AD19" s="2050"/>
      <c r="AE19" s="1988"/>
      <c r="AF19" s="2175"/>
      <c r="AG19" s="1991"/>
      <c r="AH19" s="1987"/>
      <c r="AI19" s="2050"/>
      <c r="AJ19" s="1988"/>
      <c r="AK19" s="2175"/>
      <c r="AL19" s="2014"/>
      <c r="AM19" s="1987"/>
      <c r="AN19" s="2050"/>
      <c r="AO19" s="1988"/>
      <c r="AP19" s="2035"/>
      <c r="AQ19" s="2006"/>
      <c r="AR19" s="2119"/>
      <c r="AS19" s="1538"/>
    </row>
    <row r="20" spans="1:51" s="971" customFormat="1" ht="12.75" customHeight="1">
      <c r="B20" s="1984">
        <v>9</v>
      </c>
      <c r="C20" s="2075"/>
      <c r="D20" s="2080" t="s">
        <v>1155</v>
      </c>
      <c r="E20" s="2061">
        <v>0.58333333333333337</v>
      </c>
      <c r="F20" s="2051" t="s">
        <v>606</v>
      </c>
      <c r="G20" s="2051" t="s">
        <v>723</v>
      </c>
      <c r="H20" s="2000" t="s">
        <v>1012</v>
      </c>
      <c r="I20" s="2002"/>
      <c r="J20" s="2002"/>
      <c r="K20" s="1043"/>
      <c r="L20" s="1043" t="s">
        <v>1000</v>
      </c>
      <c r="M20" s="1043" t="s">
        <v>1000</v>
      </c>
      <c r="N20" s="1043" t="s">
        <v>1000</v>
      </c>
      <c r="O20" s="1043" t="s">
        <v>1000</v>
      </c>
      <c r="P20" s="1044" t="s">
        <v>1000</v>
      </c>
      <c r="Q20" s="1764"/>
      <c r="R20" s="1991"/>
      <c r="S20" s="1985"/>
      <c r="T20" s="2042"/>
      <c r="U20" s="1986"/>
      <c r="V20" s="2175"/>
      <c r="W20" s="1991"/>
      <c r="X20" s="1985"/>
      <c r="Y20" s="2042"/>
      <c r="Z20" s="1986"/>
      <c r="AA20" s="2175"/>
      <c r="AB20" s="2044"/>
      <c r="AC20" s="1985"/>
      <c r="AD20" s="2042"/>
      <c r="AE20" s="1986"/>
      <c r="AF20" s="2175"/>
      <c r="AG20" s="2044"/>
      <c r="AH20" s="1985"/>
      <c r="AI20" s="2042"/>
      <c r="AJ20" s="1986"/>
      <c r="AK20" s="2175"/>
      <c r="AL20" s="1991"/>
      <c r="AM20" s="1985"/>
      <c r="AN20" s="2042"/>
      <c r="AO20" s="1986"/>
      <c r="AP20" s="2035"/>
      <c r="AQ20" s="2006"/>
      <c r="AR20" s="2119"/>
      <c r="AS20" s="1538"/>
    </row>
    <row r="21" spans="1:51" ht="30" customHeight="1" thickBot="1">
      <c r="B21" s="1984"/>
      <c r="C21" s="2076"/>
      <c r="D21" s="2060"/>
      <c r="E21" s="2062"/>
      <c r="F21" s="2052"/>
      <c r="G21" s="2052"/>
      <c r="H21" s="2001"/>
      <c r="I21" s="2003"/>
      <c r="J21" s="2003"/>
      <c r="K21" s="1041"/>
      <c r="L21" s="1041"/>
      <c r="M21" s="1041"/>
      <c r="N21" s="1041"/>
      <c r="O21" s="1041"/>
      <c r="P21" s="1042"/>
      <c r="Q21" s="88"/>
      <c r="R21" s="1991"/>
      <c r="S21" s="1987"/>
      <c r="T21" s="2050"/>
      <c r="U21" s="1988"/>
      <c r="V21" s="2175"/>
      <c r="W21" s="1991"/>
      <c r="X21" s="1987"/>
      <c r="Y21" s="2050"/>
      <c r="Z21" s="1988"/>
      <c r="AA21" s="2175"/>
      <c r="AB21" s="2014"/>
      <c r="AC21" s="1987"/>
      <c r="AD21" s="2050"/>
      <c r="AE21" s="1988"/>
      <c r="AF21" s="2175"/>
      <c r="AG21" s="2014"/>
      <c r="AH21" s="1987"/>
      <c r="AI21" s="2050"/>
      <c r="AJ21" s="1988"/>
      <c r="AK21" s="2175"/>
      <c r="AL21" s="2014"/>
      <c r="AM21" s="1987"/>
      <c r="AN21" s="2050"/>
      <c r="AO21" s="1988"/>
      <c r="AP21" s="2035"/>
      <c r="AQ21" s="2006"/>
      <c r="AR21" s="2119"/>
      <c r="AS21" s="1538"/>
    </row>
    <row r="22" spans="1:51" s="971" customFormat="1" ht="12.75" customHeight="1">
      <c r="B22" s="1984">
        <v>10</v>
      </c>
      <c r="C22" s="2075"/>
      <c r="D22" s="2080" t="s">
        <v>3</v>
      </c>
      <c r="E22" s="2061">
        <v>0.58333333333333337</v>
      </c>
      <c r="F22" s="2051" t="s">
        <v>974</v>
      </c>
      <c r="G22" s="2051" t="s">
        <v>723</v>
      </c>
      <c r="H22" s="2000" t="s">
        <v>1012</v>
      </c>
      <c r="I22" s="2084"/>
      <c r="J22" s="2084"/>
      <c r="K22" s="998"/>
      <c r="L22" s="998" t="s">
        <v>1000</v>
      </c>
      <c r="M22" s="998" t="s">
        <v>1000</v>
      </c>
      <c r="N22" s="998" t="s">
        <v>1000</v>
      </c>
      <c r="O22" s="998" t="s">
        <v>1000</v>
      </c>
      <c r="P22" s="999" t="s">
        <v>1000</v>
      </c>
      <c r="Q22" s="1764"/>
      <c r="R22" s="2044"/>
      <c r="S22" s="1985"/>
      <c r="T22" s="2042"/>
      <c r="U22" s="1986"/>
      <c r="V22" s="2175"/>
      <c r="W22" s="2044"/>
      <c r="X22" s="1985"/>
      <c r="Y22" s="2042"/>
      <c r="Z22" s="1986"/>
      <c r="AA22" s="2175"/>
      <c r="AB22" s="2044"/>
      <c r="AC22" s="1985"/>
      <c r="AD22" s="2042"/>
      <c r="AE22" s="1986"/>
      <c r="AF22" s="2175"/>
      <c r="AG22" s="2044"/>
      <c r="AH22" s="1985"/>
      <c r="AI22" s="2042"/>
      <c r="AJ22" s="1986"/>
      <c r="AK22" s="2175"/>
      <c r="AL22" s="2044"/>
      <c r="AM22" s="1985"/>
      <c r="AN22" s="2042"/>
      <c r="AO22" s="1986"/>
      <c r="AP22" s="2035"/>
      <c r="AQ22" s="2044"/>
      <c r="AR22" s="2130"/>
      <c r="AS22" s="1538"/>
    </row>
    <row r="23" spans="1:51" ht="30" customHeight="1" thickBot="1">
      <c r="B23" s="1984"/>
      <c r="C23" s="2076"/>
      <c r="D23" s="2060"/>
      <c r="E23" s="2062"/>
      <c r="F23" s="2052"/>
      <c r="G23" s="2052"/>
      <c r="H23" s="2001"/>
      <c r="I23" s="2085"/>
      <c r="J23" s="2085"/>
      <c r="K23" s="994"/>
      <c r="L23" s="994"/>
      <c r="M23" s="994"/>
      <c r="N23" s="994"/>
      <c r="O23" s="994"/>
      <c r="P23" s="995"/>
      <c r="Q23" s="88"/>
      <c r="R23" s="2014"/>
      <c r="S23" s="1987"/>
      <c r="T23" s="2050"/>
      <c r="U23" s="1988"/>
      <c r="V23" s="2175"/>
      <c r="W23" s="2014"/>
      <c r="X23" s="1987"/>
      <c r="Y23" s="2050"/>
      <c r="Z23" s="1988"/>
      <c r="AA23" s="2175"/>
      <c r="AB23" s="2014"/>
      <c r="AC23" s="1987"/>
      <c r="AD23" s="2050"/>
      <c r="AE23" s="1988"/>
      <c r="AF23" s="2175"/>
      <c r="AG23" s="2014"/>
      <c r="AH23" s="1987"/>
      <c r="AI23" s="2050"/>
      <c r="AJ23" s="1988"/>
      <c r="AK23" s="2175"/>
      <c r="AL23" s="2014"/>
      <c r="AM23" s="1987"/>
      <c r="AN23" s="2050"/>
      <c r="AO23" s="1988"/>
      <c r="AP23" s="2035"/>
      <c r="AQ23" s="2014"/>
      <c r="AR23" s="2129"/>
      <c r="AS23" s="1538"/>
    </row>
    <row r="24" spans="1:51" s="971" customFormat="1" ht="12.75" customHeight="1">
      <c r="B24" s="1984">
        <v>11</v>
      </c>
      <c r="C24" s="2075"/>
      <c r="D24" s="2080" t="s">
        <v>3</v>
      </c>
      <c r="E24" s="2059">
        <v>0.625</v>
      </c>
      <c r="F24" s="2053" t="s">
        <v>1038</v>
      </c>
      <c r="G24" s="2053" t="s">
        <v>724</v>
      </c>
      <c r="H24" s="2000" t="s">
        <v>1012</v>
      </c>
      <c r="I24" s="2002"/>
      <c r="J24" s="2002"/>
      <c r="K24" s="1043"/>
      <c r="L24" s="1043"/>
      <c r="M24" s="1043" t="s">
        <v>1000</v>
      </c>
      <c r="N24" s="1043"/>
      <c r="O24" s="1043"/>
      <c r="P24" s="1044" t="s">
        <v>1000</v>
      </c>
      <c r="Q24" s="1764"/>
      <c r="R24" s="1991"/>
      <c r="S24" s="1985"/>
      <c r="T24" s="2042"/>
      <c r="U24" s="1986"/>
      <c r="V24" s="2175"/>
      <c r="W24" s="1991"/>
      <c r="X24" s="1985"/>
      <c r="Y24" s="2042"/>
      <c r="Z24" s="1986"/>
      <c r="AA24" s="2175"/>
      <c r="AB24" s="2014"/>
      <c r="AC24" s="1989"/>
      <c r="AD24" s="2043"/>
      <c r="AE24" s="1990"/>
      <c r="AF24" s="2175"/>
      <c r="AG24" s="1991"/>
      <c r="AH24" s="1985"/>
      <c r="AI24" s="2042"/>
      <c r="AJ24" s="1986"/>
      <c r="AK24" s="2175"/>
      <c r="AL24" s="2044"/>
      <c r="AM24" s="1985"/>
      <c r="AN24" s="2042"/>
      <c r="AO24" s="1986"/>
      <c r="AP24" s="2035"/>
      <c r="AQ24" s="2006"/>
      <c r="AR24" s="2119"/>
      <c r="AS24" s="1541"/>
    </row>
    <row r="25" spans="1:51" ht="30" customHeight="1" thickBot="1">
      <c r="B25" s="1984"/>
      <c r="C25" s="2076"/>
      <c r="D25" s="2060"/>
      <c r="E25" s="2060"/>
      <c r="F25" s="2054"/>
      <c r="G25" s="2054"/>
      <c r="H25" s="2001"/>
      <c r="I25" s="2003"/>
      <c r="J25" s="2003"/>
      <c r="K25" s="1041"/>
      <c r="L25" s="1041"/>
      <c r="M25" s="1041"/>
      <c r="N25" s="1041"/>
      <c r="O25" s="1041"/>
      <c r="P25" s="1042"/>
      <c r="Q25" s="88"/>
      <c r="R25" s="2015"/>
      <c r="S25" s="2131"/>
      <c r="T25" s="2132"/>
      <c r="U25" s="2133"/>
      <c r="V25" s="2176"/>
      <c r="W25" s="2015"/>
      <c r="X25" s="2131"/>
      <c r="Y25" s="2132"/>
      <c r="Z25" s="2133"/>
      <c r="AA25" s="2176"/>
      <c r="AB25" s="2015"/>
      <c r="AC25" s="2131"/>
      <c r="AD25" s="2132"/>
      <c r="AE25" s="2133"/>
      <c r="AF25" s="2176"/>
      <c r="AG25" s="2015"/>
      <c r="AH25" s="2131"/>
      <c r="AI25" s="2132"/>
      <c r="AJ25" s="2133"/>
      <c r="AK25" s="2176"/>
      <c r="AL25" s="2148"/>
      <c r="AM25" s="2131"/>
      <c r="AN25" s="2132"/>
      <c r="AO25" s="2133"/>
      <c r="AP25" s="2159"/>
      <c r="AQ25" s="2134"/>
      <c r="AR25" s="2135"/>
      <c r="AS25" s="1541"/>
    </row>
    <row r="26" spans="1:51" ht="12.75" customHeight="1">
      <c r="A26" s="971"/>
      <c r="B26" s="1984">
        <v>12</v>
      </c>
      <c r="C26" s="2075"/>
      <c r="D26" s="2080" t="s">
        <v>3</v>
      </c>
      <c r="E26" s="2059">
        <v>0.625</v>
      </c>
      <c r="F26" s="2053" t="s">
        <v>1039</v>
      </c>
      <c r="G26" s="2053" t="s">
        <v>724</v>
      </c>
      <c r="H26" s="2000" t="s">
        <v>1012</v>
      </c>
      <c r="I26" s="2084"/>
      <c r="J26" s="2084"/>
      <c r="K26" s="1000"/>
      <c r="L26" s="1000"/>
      <c r="M26" s="998" t="s">
        <v>1000</v>
      </c>
      <c r="N26" s="1000"/>
      <c r="O26" s="1000"/>
      <c r="P26" s="999" t="s">
        <v>1000</v>
      </c>
      <c r="Q26" s="1535"/>
      <c r="R26" s="2143" t="s">
        <v>1371</v>
      </c>
      <c r="S26" s="2136">
        <f>SUM(S10:U25)/60/24</f>
        <v>3.8194444444444441E-2</v>
      </c>
      <c r="T26" s="2137"/>
      <c r="U26" s="2138"/>
      <c r="V26" s="1543"/>
      <c r="W26" s="2143" t="s">
        <v>1371</v>
      </c>
      <c r="X26" s="2136">
        <f>SUM(X10:Z25)/60/24</f>
        <v>4.5138888888888888E-2</v>
      </c>
      <c r="Y26" s="2137"/>
      <c r="Z26" s="2138"/>
      <c r="AA26" s="1543"/>
      <c r="AB26" s="2143" t="s">
        <v>1371</v>
      </c>
      <c r="AC26" s="2136">
        <f>SUM(AC10:AE25)/60/24</f>
        <v>5.9027777777777783E-2</v>
      </c>
      <c r="AD26" s="2137"/>
      <c r="AE26" s="2138"/>
      <c r="AF26" s="1543"/>
      <c r="AG26" s="2143" t="s">
        <v>1371</v>
      </c>
      <c r="AH26" s="2136">
        <f>SUM(AH10:AJ25)/60/24</f>
        <v>4.8611111111111112E-2</v>
      </c>
      <c r="AI26" s="2137"/>
      <c r="AJ26" s="2138"/>
      <c r="AK26" s="1543"/>
      <c r="AL26" s="2143" t="s">
        <v>1371</v>
      </c>
      <c r="AM26" s="2136">
        <f>SUM(AM10:AO25)/60/24</f>
        <v>5.9027777777777783E-2</v>
      </c>
      <c r="AN26" s="2137"/>
      <c r="AO26" s="2138"/>
      <c r="AP26" s="1543"/>
      <c r="AQ26" s="1540"/>
      <c r="AR26" s="1540"/>
      <c r="AS26" s="1541"/>
    </row>
    <row r="27" spans="1:51" ht="30" customHeight="1" thickBot="1">
      <c r="B27" s="1984"/>
      <c r="C27" s="2076"/>
      <c r="D27" s="2060"/>
      <c r="E27" s="2060"/>
      <c r="F27" s="2054"/>
      <c r="G27" s="2054"/>
      <c r="H27" s="2001"/>
      <c r="I27" s="2085"/>
      <c r="J27" s="2085"/>
      <c r="K27" s="1556"/>
      <c r="L27" s="1556"/>
      <c r="M27" s="1556"/>
      <c r="N27" s="1556"/>
      <c r="O27" s="1556"/>
      <c r="P27" s="1557"/>
      <c r="R27" s="2144"/>
      <c r="S27" s="2139"/>
      <c r="T27" s="2140"/>
      <c r="U27" s="2141"/>
      <c r="V27" s="1543"/>
      <c r="W27" s="2144"/>
      <c r="X27" s="2139"/>
      <c r="Y27" s="2140"/>
      <c r="Z27" s="2141"/>
      <c r="AA27" s="1543"/>
      <c r="AB27" s="2144"/>
      <c r="AC27" s="2139"/>
      <c r="AD27" s="2140"/>
      <c r="AE27" s="2141"/>
      <c r="AF27" s="1543"/>
      <c r="AG27" s="2144"/>
      <c r="AH27" s="2139"/>
      <c r="AI27" s="2140"/>
      <c r="AJ27" s="2141"/>
      <c r="AK27" s="1543"/>
      <c r="AL27" s="2144"/>
      <c r="AM27" s="2139"/>
      <c r="AN27" s="2140"/>
      <c r="AO27" s="2141"/>
      <c r="AP27" s="1543"/>
      <c r="AQ27" s="1540"/>
      <c r="AR27" s="1540"/>
      <c r="AS27" s="1541"/>
    </row>
    <row r="28" spans="1:51" s="971" customFormat="1" ht="12.75" customHeight="1" thickBot="1">
      <c r="A28" s="4"/>
      <c r="B28" s="1984">
        <v>13</v>
      </c>
      <c r="C28" s="2075"/>
      <c r="D28" s="2080" t="s">
        <v>3</v>
      </c>
      <c r="E28" s="2059">
        <v>0.625</v>
      </c>
      <c r="F28" s="2053" t="s">
        <v>959</v>
      </c>
      <c r="G28" s="2053" t="s">
        <v>723</v>
      </c>
      <c r="H28" s="2000" t="s">
        <v>1012</v>
      </c>
      <c r="I28" s="2002"/>
      <c r="J28" s="2002"/>
      <c r="K28" s="1043"/>
      <c r="L28" s="1043" t="s">
        <v>1000</v>
      </c>
      <c r="M28" s="1043"/>
      <c r="N28" s="1043"/>
      <c r="O28" s="1043" t="s">
        <v>1000</v>
      </c>
      <c r="P28" s="1044"/>
      <c r="Q28" s="1535"/>
      <c r="R28" s="1541"/>
      <c r="S28" s="1541"/>
      <c r="T28" s="1542"/>
      <c r="U28" s="1541"/>
      <c r="V28" s="1541"/>
      <c r="W28" s="1541"/>
      <c r="X28" s="1541"/>
      <c r="Y28" s="1542"/>
      <c r="Z28" s="1541"/>
      <c r="AA28" s="1543"/>
      <c r="AB28" s="1541"/>
      <c r="AC28" s="1541"/>
      <c r="AD28" s="1542"/>
      <c r="AE28" s="1541"/>
      <c r="AF28" s="1543"/>
      <c r="AG28" s="1541"/>
      <c r="AH28" s="1541"/>
      <c r="AI28" s="1542"/>
      <c r="AJ28" s="1541"/>
      <c r="AK28" s="1543"/>
      <c r="AL28" s="1543"/>
      <c r="AM28" s="1543"/>
      <c r="AN28" s="1544"/>
      <c r="AO28" s="1543"/>
      <c r="AP28" s="1543"/>
      <c r="AQ28" s="1543"/>
      <c r="AR28" s="1543"/>
      <c r="AS28" s="1541"/>
    </row>
    <row r="29" spans="1:51" ht="30" customHeight="1" thickBot="1">
      <c r="B29" s="1984"/>
      <c r="C29" s="2076"/>
      <c r="D29" s="2060"/>
      <c r="E29" s="2060"/>
      <c r="F29" s="2054"/>
      <c r="G29" s="2054"/>
      <c r="H29" s="2001"/>
      <c r="I29" s="2003"/>
      <c r="J29" s="2003"/>
      <c r="K29" s="1041"/>
      <c r="L29" s="1041"/>
      <c r="M29" s="1041"/>
      <c r="N29" s="1041"/>
      <c r="O29" s="1041"/>
      <c r="P29" s="1042"/>
      <c r="R29" s="1545" t="s">
        <v>3</v>
      </c>
      <c r="S29" s="1541"/>
      <c r="T29" s="1914" t="s">
        <v>1197</v>
      </c>
      <c r="U29" s="1541"/>
      <c r="V29" s="1541"/>
      <c r="W29" s="1545" t="s">
        <v>723</v>
      </c>
      <c r="X29" s="1541"/>
      <c r="Y29" s="1914" t="s">
        <v>1197</v>
      </c>
      <c r="Z29" s="1541"/>
      <c r="AA29" s="1543"/>
      <c r="AB29" s="1545" t="s">
        <v>724</v>
      </c>
      <c r="AC29" s="1541"/>
      <c r="AD29" s="1914" t="s">
        <v>1197</v>
      </c>
      <c r="AE29" s="1541"/>
      <c r="AF29" s="1543"/>
      <c r="AG29" s="1545" t="s">
        <v>4</v>
      </c>
      <c r="AH29" s="1541"/>
      <c r="AI29" s="1914" t="s">
        <v>1197</v>
      </c>
      <c r="AJ29" s="1541"/>
      <c r="AK29" s="1543"/>
      <c r="AL29" s="1545" t="s">
        <v>969</v>
      </c>
      <c r="AM29" s="1543"/>
      <c r="AN29" s="1914" t="s">
        <v>1197</v>
      </c>
      <c r="AO29" s="1541"/>
      <c r="AP29" s="1543"/>
      <c r="AQ29" s="1545" t="s">
        <v>970</v>
      </c>
      <c r="AR29" s="1543"/>
      <c r="AS29" s="1538"/>
    </row>
    <row r="30" spans="1:51" s="971" customFormat="1" ht="12.75" customHeight="1" thickBot="1">
      <c r="B30" s="1984">
        <v>14</v>
      </c>
      <c r="C30" s="1993"/>
      <c r="D30" s="2083" t="s">
        <v>723</v>
      </c>
      <c r="E30" s="2063">
        <v>0.45833333333333331</v>
      </c>
      <c r="F30" s="2051" t="s">
        <v>961</v>
      </c>
      <c r="G30" s="2051" t="s">
        <v>724</v>
      </c>
      <c r="H30" s="2000" t="s">
        <v>1012</v>
      </c>
      <c r="I30" s="2084"/>
      <c r="J30" s="2084"/>
      <c r="K30" s="998"/>
      <c r="L30" s="998"/>
      <c r="M30" s="998" t="s">
        <v>1000</v>
      </c>
      <c r="N30" s="998"/>
      <c r="O30" s="998"/>
      <c r="P30" s="999"/>
      <c r="Q30" s="1535"/>
      <c r="R30" s="1541"/>
      <c r="S30" s="1541"/>
      <c r="T30" s="1915"/>
      <c r="U30" s="1541"/>
      <c r="V30" s="1541"/>
      <c r="W30" s="1541"/>
      <c r="X30" s="1541"/>
      <c r="Y30" s="1915"/>
      <c r="Z30" s="1541"/>
      <c r="AA30" s="1543"/>
      <c r="AB30" s="1541"/>
      <c r="AC30" s="1541"/>
      <c r="AD30" s="1915"/>
      <c r="AE30" s="1541"/>
      <c r="AF30" s="1543"/>
      <c r="AG30" s="1541"/>
      <c r="AH30" s="1541"/>
      <c r="AI30" s="1915"/>
      <c r="AJ30" s="1541"/>
      <c r="AK30" s="1543"/>
      <c r="AL30" s="1543"/>
      <c r="AM30" s="1543"/>
      <c r="AN30" s="2142"/>
      <c r="AO30" s="1541"/>
      <c r="AP30" s="1543"/>
      <c r="AQ30" s="1543"/>
      <c r="AR30" s="1543"/>
      <c r="AS30" s="1538"/>
      <c r="AT30" s="1792"/>
      <c r="AU30" s="1792"/>
      <c r="AV30" s="1792"/>
      <c r="AW30" s="1792"/>
      <c r="AX30" s="1792"/>
    </row>
    <row r="31" spans="1:51" ht="30" customHeight="1" thickBot="1">
      <c r="B31" s="1984"/>
      <c r="C31" s="1994"/>
      <c r="D31" s="2064"/>
      <c r="E31" s="2064"/>
      <c r="F31" s="2052"/>
      <c r="G31" s="2052"/>
      <c r="H31" s="2001"/>
      <c r="I31" s="2085"/>
      <c r="J31" s="2085"/>
      <c r="K31" s="994"/>
      <c r="L31" s="994"/>
      <c r="M31" s="994"/>
      <c r="N31" s="994"/>
      <c r="O31" s="994"/>
      <c r="P31" s="995"/>
      <c r="R31" s="2022" t="s">
        <v>1198</v>
      </c>
      <c r="S31" s="2021"/>
      <c r="T31" s="2017" t="s">
        <v>1048</v>
      </c>
      <c r="U31" s="2018"/>
      <c r="V31" s="1731" t="s">
        <v>1364</v>
      </c>
      <c r="W31" s="2021" t="s">
        <v>1198</v>
      </c>
      <c r="X31" s="2021"/>
      <c r="Y31" s="2017" t="s">
        <v>1048</v>
      </c>
      <c r="Z31" s="2018"/>
      <c r="AA31" s="1731" t="s">
        <v>1364</v>
      </c>
      <c r="AB31" s="2021" t="s">
        <v>1198</v>
      </c>
      <c r="AC31" s="2021"/>
      <c r="AD31" s="2017" t="s">
        <v>1048</v>
      </c>
      <c r="AE31" s="2018"/>
      <c r="AF31" s="1731" t="s">
        <v>1364</v>
      </c>
      <c r="AG31" s="2022" t="s">
        <v>1198</v>
      </c>
      <c r="AH31" s="2021"/>
      <c r="AI31" s="2017" t="s">
        <v>1048</v>
      </c>
      <c r="AJ31" s="2018"/>
      <c r="AK31" s="1731" t="s">
        <v>1364</v>
      </c>
      <c r="AL31" s="2023" t="s">
        <v>1198</v>
      </c>
      <c r="AM31" s="2023"/>
      <c r="AN31" s="2019" t="s">
        <v>1048</v>
      </c>
      <c r="AO31" s="2020"/>
      <c r="AP31" s="1761" t="s">
        <v>1364</v>
      </c>
      <c r="AQ31" s="1730" t="s">
        <v>1198</v>
      </c>
      <c r="AR31" s="1622" t="s">
        <v>1048</v>
      </c>
      <c r="AS31" s="1771"/>
      <c r="AT31" s="88"/>
      <c r="AU31" s="88"/>
      <c r="AV31" s="88"/>
      <c r="AW31" s="88"/>
      <c r="AX31" s="88"/>
      <c r="AY31" s="88"/>
    </row>
    <row r="32" spans="1:51" s="971" customFormat="1" ht="12.75" customHeight="1">
      <c r="B32" s="1984">
        <v>15</v>
      </c>
      <c r="C32" s="1993"/>
      <c r="D32" s="2083" t="s">
        <v>723</v>
      </c>
      <c r="E32" s="2063">
        <v>0.45833333333333331</v>
      </c>
      <c r="F32" s="2051" t="s">
        <v>966</v>
      </c>
      <c r="G32" s="2051" t="s">
        <v>724</v>
      </c>
      <c r="H32" s="2000" t="s">
        <v>1012</v>
      </c>
      <c r="I32" s="2002"/>
      <c r="J32" s="2002"/>
      <c r="K32" s="1043"/>
      <c r="L32" s="1043"/>
      <c r="M32" s="1043"/>
      <c r="N32" s="1043" t="s">
        <v>1000</v>
      </c>
      <c r="O32" s="1043"/>
      <c r="P32" s="1044"/>
      <c r="Q32" s="1535"/>
      <c r="R32" s="2031" t="s">
        <v>1200</v>
      </c>
      <c r="S32" s="2032" t="s">
        <v>1199</v>
      </c>
      <c r="T32" s="2033">
        <v>0.45833333333333331</v>
      </c>
      <c r="U32" s="2145">
        <v>15</v>
      </c>
      <c r="V32" s="2034" t="s">
        <v>1365</v>
      </c>
      <c r="W32" s="2031" t="s">
        <v>961</v>
      </c>
      <c r="X32" s="2032" t="s">
        <v>1199</v>
      </c>
      <c r="Y32" s="2033">
        <v>0.45833333333333331</v>
      </c>
      <c r="Z32" s="2212">
        <v>30</v>
      </c>
      <c r="AA32" s="2034"/>
      <c r="AB32" s="2145" t="s">
        <v>1221</v>
      </c>
      <c r="AC32" s="2032" t="s">
        <v>1199</v>
      </c>
      <c r="AD32" s="2033">
        <v>0.45833333333333331</v>
      </c>
      <c r="AE32" s="2145">
        <v>15</v>
      </c>
      <c r="AF32" s="2034"/>
      <c r="AG32" s="2153" t="s">
        <v>1247</v>
      </c>
      <c r="AH32" s="2032" t="s">
        <v>1018</v>
      </c>
      <c r="AI32" s="2033">
        <v>0.45833333333333331</v>
      </c>
      <c r="AJ32" s="2145">
        <v>5</v>
      </c>
      <c r="AK32" s="2211"/>
      <c r="AL32" s="2031" t="s">
        <v>1373</v>
      </c>
      <c r="AM32" s="2032" t="s">
        <v>1199</v>
      </c>
      <c r="AN32" s="2033">
        <v>0.45833333333333331</v>
      </c>
      <c r="AO32" s="2034">
        <v>15</v>
      </c>
      <c r="AP32" s="2034"/>
      <c r="AQ32" s="2145"/>
      <c r="AR32" s="2118"/>
      <c r="AS32" s="1771"/>
      <c r="AT32" s="1791"/>
      <c r="AU32" s="1791"/>
      <c r="AV32" s="1791"/>
      <c r="AW32" s="1791"/>
      <c r="AX32" s="1791"/>
      <c r="AY32" s="1792"/>
    </row>
    <row r="33" spans="2:51" ht="30" customHeight="1" thickBot="1">
      <c r="B33" s="1984"/>
      <c r="C33" s="1994"/>
      <c r="D33" s="2064"/>
      <c r="E33" s="2064"/>
      <c r="F33" s="2052"/>
      <c r="G33" s="2052"/>
      <c r="H33" s="2001"/>
      <c r="I33" s="2003"/>
      <c r="J33" s="2003"/>
      <c r="K33" s="1041"/>
      <c r="L33" s="1041"/>
      <c r="M33" s="1041"/>
      <c r="N33" s="1041"/>
      <c r="O33" s="1041"/>
      <c r="P33" s="1042"/>
      <c r="R33" s="1991"/>
      <c r="S33" s="1992"/>
      <c r="T33" s="2030"/>
      <c r="U33" s="2006"/>
      <c r="V33" s="2035"/>
      <c r="W33" s="1991"/>
      <c r="X33" s="1992"/>
      <c r="Y33" s="2030"/>
      <c r="Z33" s="2028"/>
      <c r="AA33" s="2035"/>
      <c r="AB33" s="2006"/>
      <c r="AC33" s="1992"/>
      <c r="AD33" s="2030"/>
      <c r="AE33" s="2006"/>
      <c r="AF33" s="2035"/>
      <c r="AG33" s="2014"/>
      <c r="AH33" s="1992"/>
      <c r="AI33" s="2030"/>
      <c r="AJ33" s="2006"/>
      <c r="AK33" s="2175"/>
      <c r="AL33" s="1991"/>
      <c r="AM33" s="1992"/>
      <c r="AN33" s="2030"/>
      <c r="AO33" s="2035"/>
      <c r="AP33" s="2035"/>
      <c r="AQ33" s="2006"/>
      <c r="AR33" s="2119"/>
      <c r="AS33" s="1771"/>
      <c r="AT33" s="1791"/>
      <c r="AU33" s="1791"/>
      <c r="AV33" s="1791"/>
      <c r="AW33" s="1791"/>
      <c r="AX33" s="1791"/>
      <c r="AY33" s="88"/>
    </row>
    <row r="34" spans="2:51" s="971" customFormat="1" ht="12.75" customHeight="1">
      <c r="B34" s="1984">
        <v>16</v>
      </c>
      <c r="C34" s="1993"/>
      <c r="D34" s="2083" t="s">
        <v>723</v>
      </c>
      <c r="E34" s="2063">
        <v>0.45833333333333331</v>
      </c>
      <c r="F34" s="2051" t="s">
        <v>958</v>
      </c>
      <c r="G34" s="2051" t="s">
        <v>724</v>
      </c>
      <c r="H34" s="2095" t="s">
        <v>1012</v>
      </c>
      <c r="I34" s="1558"/>
      <c r="J34" s="1530"/>
      <c r="K34" s="998"/>
      <c r="L34" s="998"/>
      <c r="M34" s="998" t="s">
        <v>1000</v>
      </c>
      <c r="N34" s="998"/>
      <c r="O34" s="998"/>
      <c r="P34" s="999"/>
      <c r="Q34" s="1535"/>
      <c r="R34" s="2014" t="s">
        <v>976</v>
      </c>
      <c r="S34" s="2028" t="s">
        <v>1199</v>
      </c>
      <c r="T34" s="2029">
        <v>0.45833333333333331</v>
      </c>
      <c r="U34" s="2028">
        <v>5</v>
      </c>
      <c r="V34" s="2146" t="s">
        <v>1365</v>
      </c>
      <c r="W34" s="1991" t="s">
        <v>966</v>
      </c>
      <c r="X34" s="1992" t="s">
        <v>1199</v>
      </c>
      <c r="Y34" s="2041">
        <v>0.45833333333333331</v>
      </c>
      <c r="Z34" s="2028"/>
      <c r="AA34" s="2146"/>
      <c r="AB34" s="2006" t="s">
        <v>1202</v>
      </c>
      <c r="AC34" s="1992" t="s">
        <v>1018</v>
      </c>
      <c r="AD34" s="2041">
        <v>0.45833333333333331</v>
      </c>
      <c r="AE34" s="2006">
        <v>25</v>
      </c>
      <c r="AF34" s="2146"/>
      <c r="AG34" s="2154" t="s">
        <v>1201</v>
      </c>
      <c r="AH34" s="2005" t="s">
        <v>1199</v>
      </c>
      <c r="AI34" s="2029">
        <v>0.45833333333333331</v>
      </c>
      <c r="AJ34" s="1988">
        <v>5</v>
      </c>
      <c r="AK34" s="2146"/>
      <c r="AL34" s="1988" t="s">
        <v>1246</v>
      </c>
      <c r="AM34" s="2005" t="s">
        <v>1018</v>
      </c>
      <c r="AN34" s="2029">
        <v>0.45833333333333331</v>
      </c>
      <c r="AO34" s="2147">
        <v>15</v>
      </c>
      <c r="AP34" s="2174"/>
      <c r="AQ34" s="2006"/>
      <c r="AR34" s="2119"/>
      <c r="AS34" s="1555"/>
      <c r="AT34" s="1792"/>
      <c r="AU34" s="1792"/>
      <c r="AV34" s="1792"/>
      <c r="AW34" s="1792"/>
      <c r="AX34" s="1554"/>
      <c r="AY34" s="1554"/>
    </row>
    <row r="35" spans="2:51" ht="30" customHeight="1" thickBot="1">
      <c r="B35" s="1984"/>
      <c r="C35" s="1994"/>
      <c r="D35" s="2064"/>
      <c r="E35" s="2064"/>
      <c r="F35" s="2052"/>
      <c r="G35" s="2052"/>
      <c r="H35" s="2001"/>
      <c r="I35" s="1559"/>
      <c r="J35" s="1531"/>
      <c r="K35" s="994"/>
      <c r="L35" s="994"/>
      <c r="M35" s="994"/>
      <c r="N35" s="994"/>
      <c r="O35" s="994"/>
      <c r="P35" s="995"/>
      <c r="R35" s="1991"/>
      <c r="S35" s="2005"/>
      <c r="T35" s="2030"/>
      <c r="U35" s="2005"/>
      <c r="V35" s="2147"/>
      <c r="W35" s="1991"/>
      <c r="X35" s="1992"/>
      <c r="Y35" s="2030"/>
      <c r="Z35" s="2005"/>
      <c r="AA35" s="2147"/>
      <c r="AB35" s="2006"/>
      <c r="AC35" s="1992"/>
      <c r="AD35" s="2030"/>
      <c r="AE35" s="2006"/>
      <c r="AF35" s="2147"/>
      <c r="AG35" s="2014"/>
      <c r="AH35" s="1992"/>
      <c r="AI35" s="2030"/>
      <c r="AJ35" s="2006"/>
      <c r="AK35" s="2147"/>
      <c r="AL35" s="2006"/>
      <c r="AM35" s="1992"/>
      <c r="AN35" s="2030"/>
      <c r="AO35" s="2035"/>
      <c r="AP35" s="2129"/>
      <c r="AQ35" s="2006"/>
      <c r="AR35" s="2119"/>
      <c r="AS35" s="1555"/>
      <c r="AT35" s="1790"/>
      <c r="AU35" s="1790"/>
      <c r="AV35" s="1790"/>
      <c r="AW35" s="1790"/>
      <c r="AX35" s="1554"/>
      <c r="AY35" s="1554"/>
    </row>
    <row r="36" spans="2:51" s="971" customFormat="1" ht="12.75" customHeight="1">
      <c r="B36" s="1984">
        <v>17</v>
      </c>
      <c r="C36" s="2100"/>
      <c r="D36" s="2083" t="s">
        <v>723</v>
      </c>
      <c r="E36" s="2061">
        <v>0.5</v>
      </c>
      <c r="F36" s="2051" t="s">
        <v>1249</v>
      </c>
      <c r="G36" s="2051" t="s">
        <v>724</v>
      </c>
      <c r="H36" s="2095" t="s">
        <v>1012</v>
      </c>
      <c r="I36" s="2002"/>
      <c r="J36" s="2002"/>
      <c r="K36" s="1217"/>
      <c r="L36" s="1217"/>
      <c r="M36" s="1217" t="s">
        <v>1000</v>
      </c>
      <c r="N36" s="1217"/>
      <c r="O36" s="1217"/>
      <c r="P36" s="1223"/>
      <c r="Q36" s="4"/>
      <c r="R36" s="1991" t="s">
        <v>971</v>
      </c>
      <c r="S36" s="2004" t="s">
        <v>1199</v>
      </c>
      <c r="T36" s="2041">
        <v>0.45833333333333331</v>
      </c>
      <c r="U36" s="2004">
        <v>5</v>
      </c>
      <c r="V36" s="2160"/>
      <c r="W36" s="1991" t="s">
        <v>1266</v>
      </c>
      <c r="X36" s="1992" t="s">
        <v>1018</v>
      </c>
      <c r="Y36" s="2041">
        <v>0.45833333333333331</v>
      </c>
      <c r="Z36" s="2006">
        <v>25</v>
      </c>
      <c r="AA36" s="2160"/>
      <c r="AB36" s="2006" t="s">
        <v>962</v>
      </c>
      <c r="AC36" s="2004" t="s">
        <v>1199</v>
      </c>
      <c r="AD36" s="2041">
        <v>0.45833333333333331</v>
      </c>
      <c r="AE36" s="2004">
        <v>10</v>
      </c>
      <c r="AF36" s="2160"/>
      <c r="AG36" s="2044" t="s">
        <v>1203</v>
      </c>
      <c r="AH36" s="1992" t="s">
        <v>1199</v>
      </c>
      <c r="AI36" s="2041">
        <v>0.45833333333333331</v>
      </c>
      <c r="AJ36" s="2006">
        <v>5</v>
      </c>
      <c r="AK36" s="2160"/>
      <c r="AL36" s="2006" t="s">
        <v>1204</v>
      </c>
      <c r="AM36" s="1992" t="s">
        <v>1199</v>
      </c>
      <c r="AN36" s="2036">
        <v>0.58333333333333337</v>
      </c>
      <c r="AO36" s="2035">
        <v>15</v>
      </c>
      <c r="AP36" s="2130"/>
      <c r="AQ36" s="2006"/>
      <c r="AR36" s="2119"/>
      <c r="AS36" s="1555"/>
      <c r="AT36" s="1790"/>
      <c r="AU36" s="1790"/>
      <c r="AV36" s="1790"/>
      <c r="AW36" s="1790"/>
      <c r="AX36" s="1554"/>
      <c r="AY36" s="1554"/>
    </row>
    <row r="37" spans="2:51" ht="30" customHeight="1" thickBot="1">
      <c r="B37" s="1984"/>
      <c r="C37" s="2076"/>
      <c r="D37" s="2064"/>
      <c r="E37" s="2062"/>
      <c r="F37" s="2052"/>
      <c r="G37" s="2052"/>
      <c r="H37" s="2001"/>
      <c r="I37" s="2003"/>
      <c r="J37" s="2003"/>
      <c r="K37" s="1041"/>
      <c r="L37" s="1041"/>
      <c r="M37" s="1041"/>
      <c r="N37" s="1041"/>
      <c r="O37" s="1041"/>
      <c r="P37" s="1042"/>
      <c r="R37" s="1991"/>
      <c r="S37" s="2005"/>
      <c r="T37" s="2030"/>
      <c r="U37" s="2005"/>
      <c r="V37" s="2147"/>
      <c r="W37" s="1991"/>
      <c r="X37" s="1992"/>
      <c r="Y37" s="2030"/>
      <c r="Z37" s="2006"/>
      <c r="AA37" s="2147"/>
      <c r="AB37" s="2006"/>
      <c r="AC37" s="2005"/>
      <c r="AD37" s="2030"/>
      <c r="AE37" s="2005"/>
      <c r="AF37" s="2147"/>
      <c r="AG37" s="2014"/>
      <c r="AH37" s="1992"/>
      <c r="AI37" s="2030"/>
      <c r="AJ37" s="2006"/>
      <c r="AK37" s="2147"/>
      <c r="AL37" s="2006"/>
      <c r="AM37" s="1992"/>
      <c r="AN37" s="2037"/>
      <c r="AO37" s="2035"/>
      <c r="AP37" s="2129"/>
      <c r="AQ37" s="2006"/>
      <c r="AR37" s="2119"/>
      <c r="AS37" s="1555"/>
      <c r="AT37" s="1790"/>
      <c r="AU37" s="1790"/>
      <c r="AV37" s="1790"/>
      <c r="AW37" s="1790"/>
      <c r="AX37" s="1554"/>
      <c r="AY37" s="1554"/>
    </row>
    <row r="38" spans="2:51" s="971" customFormat="1" ht="13.5" customHeight="1">
      <c r="B38" s="1984">
        <v>18</v>
      </c>
      <c r="C38" s="2079"/>
      <c r="D38" s="2067" t="s">
        <v>723</v>
      </c>
      <c r="E38" s="2069">
        <v>0.58333333333333337</v>
      </c>
      <c r="F38" s="2051" t="s">
        <v>1164</v>
      </c>
      <c r="G38" s="2051" t="s">
        <v>4</v>
      </c>
      <c r="H38" s="2084" t="s">
        <v>1012</v>
      </c>
      <c r="I38" s="2084"/>
      <c r="J38" s="2084"/>
      <c r="K38" s="1000"/>
      <c r="L38" s="1000"/>
      <c r="M38" s="1000" t="s">
        <v>1000</v>
      </c>
      <c r="N38" s="1000"/>
      <c r="O38" s="1000"/>
      <c r="P38" s="1001"/>
      <c r="Q38" s="1535"/>
      <c r="R38" s="1991" t="s">
        <v>972</v>
      </c>
      <c r="S38" s="2004" t="s">
        <v>1199</v>
      </c>
      <c r="T38" s="2041">
        <v>0.45833333333333331</v>
      </c>
      <c r="U38" s="2004">
        <v>10</v>
      </c>
      <c r="V38" s="2160" t="s">
        <v>1365</v>
      </c>
      <c r="W38" s="1991" t="s">
        <v>958</v>
      </c>
      <c r="X38" s="1992" t="s">
        <v>1199</v>
      </c>
      <c r="Y38" s="2041">
        <v>0.45833333333333331</v>
      </c>
      <c r="Z38" s="2006">
        <v>5</v>
      </c>
      <c r="AA38" s="2160"/>
      <c r="AB38" s="2006" t="s">
        <v>973</v>
      </c>
      <c r="AC38" s="1992" t="s">
        <v>1018</v>
      </c>
      <c r="AD38" s="2036">
        <v>0.625</v>
      </c>
      <c r="AE38" s="2006">
        <v>30</v>
      </c>
      <c r="AF38" s="2160"/>
      <c r="AG38" s="2014" t="s">
        <v>964</v>
      </c>
      <c r="AH38" s="2005" t="s">
        <v>1199</v>
      </c>
      <c r="AI38" s="2036">
        <v>0.5</v>
      </c>
      <c r="AJ38" s="1988">
        <v>25</v>
      </c>
      <c r="AK38" s="2160"/>
      <c r="AL38" s="2006" t="s">
        <v>1208</v>
      </c>
      <c r="AM38" s="1992" t="s">
        <v>1199</v>
      </c>
      <c r="AN38" s="2036">
        <v>0.58333333333333337</v>
      </c>
      <c r="AO38" s="2035">
        <v>10</v>
      </c>
      <c r="AP38" s="2130"/>
      <c r="AQ38" s="2006"/>
      <c r="AR38" s="2119"/>
      <c r="AS38" s="1555"/>
      <c r="AT38" s="1790"/>
      <c r="AU38" s="1790"/>
      <c r="AV38" s="1790"/>
      <c r="AW38" s="1790"/>
      <c r="AX38" s="1554"/>
      <c r="AY38" s="1554"/>
    </row>
    <row r="39" spans="2:51" ht="29.25" customHeight="1" thickBot="1">
      <c r="B39" s="1984"/>
      <c r="C39" s="1994"/>
      <c r="D39" s="2068"/>
      <c r="E39" s="2070"/>
      <c r="F39" s="2052"/>
      <c r="G39" s="2052"/>
      <c r="H39" s="2085"/>
      <c r="I39" s="2085"/>
      <c r="J39" s="2085"/>
      <c r="K39" s="994"/>
      <c r="L39" s="994"/>
      <c r="M39" s="994"/>
      <c r="N39" s="994"/>
      <c r="O39" s="994"/>
      <c r="P39" s="995"/>
      <c r="R39" s="1991"/>
      <c r="S39" s="2005"/>
      <c r="T39" s="2030"/>
      <c r="U39" s="2005"/>
      <c r="V39" s="2147"/>
      <c r="W39" s="1991"/>
      <c r="X39" s="1992"/>
      <c r="Y39" s="2030"/>
      <c r="Z39" s="2006"/>
      <c r="AA39" s="2147"/>
      <c r="AB39" s="2006"/>
      <c r="AC39" s="1992"/>
      <c r="AD39" s="2037"/>
      <c r="AE39" s="2006"/>
      <c r="AF39" s="2147"/>
      <c r="AG39" s="1991"/>
      <c r="AH39" s="1992"/>
      <c r="AI39" s="2037"/>
      <c r="AJ39" s="2006"/>
      <c r="AK39" s="2147"/>
      <c r="AL39" s="2006"/>
      <c r="AM39" s="1992"/>
      <c r="AN39" s="2037"/>
      <c r="AO39" s="2035"/>
      <c r="AP39" s="2129"/>
      <c r="AQ39" s="2006"/>
      <c r="AR39" s="2119"/>
      <c r="AS39" s="1555"/>
      <c r="AT39" s="1790"/>
      <c r="AU39" s="1790"/>
      <c r="AV39" s="1790"/>
      <c r="AW39" s="1790"/>
      <c r="AX39" s="1554"/>
      <c r="AY39" s="1554"/>
    </row>
    <row r="40" spans="2:51" s="971" customFormat="1" ht="12.75" customHeight="1">
      <c r="B40" s="1984">
        <v>19</v>
      </c>
      <c r="C40" s="1993"/>
      <c r="D40" s="2083" t="s">
        <v>723</v>
      </c>
      <c r="E40" s="2063">
        <v>0.58333333333333337</v>
      </c>
      <c r="F40" s="2051" t="s">
        <v>998</v>
      </c>
      <c r="G40" s="2051" t="s">
        <v>4</v>
      </c>
      <c r="H40" s="2000" t="s">
        <v>1013</v>
      </c>
      <c r="I40" s="2002"/>
      <c r="J40" s="2002"/>
      <c r="K40" s="1043"/>
      <c r="L40" s="1043" t="s">
        <v>1000</v>
      </c>
      <c r="M40" s="1043" t="s">
        <v>1000</v>
      </c>
      <c r="N40" s="1043" t="s">
        <v>1000</v>
      </c>
      <c r="O40" s="1043"/>
      <c r="P40" s="1044"/>
      <c r="Q40" s="1535"/>
      <c r="R40" s="1991" t="s">
        <v>967</v>
      </c>
      <c r="S40" s="2004" t="s">
        <v>1199</v>
      </c>
      <c r="T40" s="2041">
        <v>0.45833333333333331</v>
      </c>
      <c r="U40" s="2004">
        <v>20</v>
      </c>
      <c r="V40" s="2160" t="s">
        <v>1365</v>
      </c>
      <c r="W40" s="2027" t="s">
        <v>1164</v>
      </c>
      <c r="X40" s="2004" t="s">
        <v>1429</v>
      </c>
      <c r="Y40" s="2041">
        <v>0.45833333333333331</v>
      </c>
      <c r="Z40" s="2004">
        <v>20</v>
      </c>
      <c r="AA40" s="2160"/>
      <c r="AB40" s="2006" t="s">
        <v>1206</v>
      </c>
      <c r="AC40" s="1992" t="s">
        <v>1018</v>
      </c>
      <c r="AD40" s="2036">
        <v>0.625</v>
      </c>
      <c r="AE40" s="2006">
        <v>5</v>
      </c>
      <c r="AF40" s="2160"/>
      <c r="AG40" s="2044" t="s">
        <v>1207</v>
      </c>
      <c r="AH40" s="1992" t="s">
        <v>1018</v>
      </c>
      <c r="AI40" s="2149">
        <v>0.625</v>
      </c>
      <c r="AJ40" s="2006">
        <v>10</v>
      </c>
      <c r="AK40" s="2160"/>
      <c r="AL40" s="2151" t="s">
        <v>1210</v>
      </c>
      <c r="AM40" s="1992" t="s">
        <v>1199</v>
      </c>
      <c r="AN40" s="2149">
        <v>0.66666666666666663</v>
      </c>
      <c r="AO40" s="2035">
        <v>30</v>
      </c>
      <c r="AP40" s="2130"/>
      <c r="AQ40" s="2006"/>
      <c r="AR40" s="2119"/>
      <c r="AS40" s="1555"/>
      <c r="AT40" s="1790"/>
      <c r="AU40" s="1790"/>
      <c r="AV40" s="1790"/>
      <c r="AW40" s="1790"/>
      <c r="AX40" s="1554"/>
      <c r="AY40" s="1554"/>
    </row>
    <row r="41" spans="2:51" ht="30" customHeight="1" thickBot="1">
      <c r="B41" s="1984"/>
      <c r="C41" s="1994"/>
      <c r="D41" s="2064"/>
      <c r="E41" s="2064"/>
      <c r="F41" s="2052"/>
      <c r="G41" s="2052"/>
      <c r="H41" s="2001"/>
      <c r="I41" s="2003"/>
      <c r="J41" s="2003"/>
      <c r="K41" s="1041"/>
      <c r="L41" s="1041"/>
      <c r="M41" s="1041"/>
      <c r="N41" s="1041"/>
      <c r="O41" s="1041"/>
      <c r="P41" s="1042"/>
      <c r="R41" s="1991"/>
      <c r="S41" s="2005"/>
      <c r="T41" s="2030"/>
      <c r="U41" s="2005"/>
      <c r="V41" s="2147"/>
      <c r="W41" s="2027"/>
      <c r="X41" s="2005"/>
      <c r="Y41" s="2030"/>
      <c r="Z41" s="2005"/>
      <c r="AA41" s="2147"/>
      <c r="AB41" s="2006"/>
      <c r="AC41" s="1992"/>
      <c r="AD41" s="2037"/>
      <c r="AE41" s="2006"/>
      <c r="AF41" s="2147"/>
      <c r="AG41" s="2014"/>
      <c r="AH41" s="1992"/>
      <c r="AI41" s="2152"/>
      <c r="AJ41" s="2006"/>
      <c r="AK41" s="2147"/>
      <c r="AL41" s="2151"/>
      <c r="AM41" s="1992"/>
      <c r="AN41" s="2152"/>
      <c r="AO41" s="2035"/>
      <c r="AP41" s="2129"/>
      <c r="AQ41" s="2006"/>
      <c r="AR41" s="2119"/>
      <c r="AS41" s="1555"/>
      <c r="AT41" s="1790"/>
      <c r="AU41" s="1790"/>
      <c r="AV41" s="1790"/>
      <c r="AW41" s="1790"/>
      <c r="AX41" s="1554"/>
      <c r="AY41" s="1554"/>
    </row>
    <row r="42" spans="2:51" s="971" customFormat="1" ht="12.75" customHeight="1">
      <c r="B42" s="1984">
        <v>20</v>
      </c>
      <c r="C42" s="1993"/>
      <c r="D42" s="2083" t="s">
        <v>723</v>
      </c>
      <c r="E42" s="2063">
        <v>0.58333333333333337</v>
      </c>
      <c r="F42" s="1998" t="s">
        <v>965</v>
      </c>
      <c r="G42" s="1998" t="s">
        <v>724</v>
      </c>
      <c r="H42" s="2000" t="s">
        <v>1012</v>
      </c>
      <c r="I42" s="2084"/>
      <c r="J42" s="2084"/>
      <c r="K42" s="998"/>
      <c r="L42" s="998"/>
      <c r="M42" s="998" t="s">
        <v>1000</v>
      </c>
      <c r="N42" s="998"/>
      <c r="O42" s="998"/>
      <c r="P42" s="999"/>
      <c r="Q42" s="1535"/>
      <c r="R42" s="1991" t="s">
        <v>1210</v>
      </c>
      <c r="S42" s="2004" t="s">
        <v>1219</v>
      </c>
      <c r="T42" s="2036">
        <v>0.58333333333333337</v>
      </c>
      <c r="U42" s="2004">
        <v>25</v>
      </c>
      <c r="V42" s="2160" t="s">
        <v>1365</v>
      </c>
      <c r="W42" s="2027" t="s">
        <v>1205</v>
      </c>
      <c r="X42" s="1992" t="s">
        <v>1429</v>
      </c>
      <c r="Y42" s="2036">
        <v>0.58333333333333337</v>
      </c>
      <c r="Z42" s="2006">
        <v>15</v>
      </c>
      <c r="AA42" s="2160"/>
      <c r="AB42" s="2006" t="s">
        <v>1209</v>
      </c>
      <c r="AC42" s="1992" t="s">
        <v>1018</v>
      </c>
      <c r="AD42" s="2036">
        <v>0.625</v>
      </c>
      <c r="AE42" s="2006">
        <v>5</v>
      </c>
      <c r="AF42" s="2160"/>
      <c r="AG42" s="2044" t="s">
        <v>1165</v>
      </c>
      <c r="AH42" s="1992" t="s">
        <v>1018</v>
      </c>
      <c r="AI42" s="2149">
        <v>0.625</v>
      </c>
      <c r="AJ42" s="2006">
        <v>20</v>
      </c>
      <c r="AK42" s="2160"/>
      <c r="AL42" s="2155" t="s">
        <v>1212</v>
      </c>
      <c r="AM42" s="1992" t="s">
        <v>1199</v>
      </c>
      <c r="AN42" s="2149">
        <v>0.66666666666666663</v>
      </c>
      <c r="AO42" s="2035">
        <v>30</v>
      </c>
      <c r="AP42" s="2130"/>
      <c r="AQ42" s="2006"/>
      <c r="AR42" s="2119"/>
      <c r="AS42" s="1555"/>
      <c r="AT42" s="1790"/>
      <c r="AU42" s="1790"/>
      <c r="AV42" s="1790"/>
      <c r="AW42" s="1790"/>
      <c r="AX42" s="1554"/>
      <c r="AY42" s="1554"/>
    </row>
    <row r="43" spans="2:51" ht="30" customHeight="1" thickBot="1">
      <c r="B43" s="1984"/>
      <c r="C43" s="1994"/>
      <c r="D43" s="2064"/>
      <c r="E43" s="2064"/>
      <c r="F43" s="1999"/>
      <c r="G43" s="1999"/>
      <c r="H43" s="2001"/>
      <c r="I43" s="2085"/>
      <c r="J43" s="2085"/>
      <c r="K43" s="994"/>
      <c r="L43" s="994"/>
      <c r="M43" s="994"/>
      <c r="N43" s="994"/>
      <c r="O43" s="994"/>
      <c r="P43" s="995"/>
      <c r="R43" s="1991"/>
      <c r="S43" s="2005"/>
      <c r="T43" s="2037"/>
      <c r="U43" s="2005"/>
      <c r="V43" s="2147"/>
      <c r="W43" s="2027"/>
      <c r="X43" s="1992"/>
      <c r="Y43" s="2037"/>
      <c r="Z43" s="2006"/>
      <c r="AA43" s="2147"/>
      <c r="AB43" s="2006"/>
      <c r="AC43" s="1992"/>
      <c r="AD43" s="2037"/>
      <c r="AE43" s="2006"/>
      <c r="AF43" s="2147"/>
      <c r="AG43" s="2154"/>
      <c r="AH43" s="2004"/>
      <c r="AI43" s="2150"/>
      <c r="AJ43" s="1986"/>
      <c r="AK43" s="2147"/>
      <c r="AL43" s="2156"/>
      <c r="AM43" s="1992"/>
      <c r="AN43" s="2152"/>
      <c r="AO43" s="2035"/>
      <c r="AP43" s="2129"/>
      <c r="AQ43" s="2006"/>
      <c r="AR43" s="2119"/>
      <c r="AS43" s="1555"/>
      <c r="AT43" s="1790"/>
      <c r="AU43" s="1790"/>
      <c r="AV43" s="1790"/>
      <c r="AW43" s="1790"/>
      <c r="AX43" s="1554"/>
      <c r="AY43" s="1554"/>
    </row>
    <row r="44" spans="2:51" s="971" customFormat="1" ht="12.75" customHeight="1">
      <c r="B44" s="1984">
        <v>21</v>
      </c>
      <c r="C44" s="1993"/>
      <c r="D44" s="2083" t="s">
        <v>723</v>
      </c>
      <c r="E44" s="2063">
        <v>0.58333333333333337</v>
      </c>
      <c r="F44" s="2055" t="s">
        <v>968</v>
      </c>
      <c r="G44" s="2055" t="s">
        <v>4</v>
      </c>
      <c r="H44" s="2000" t="s">
        <v>1012</v>
      </c>
      <c r="I44" s="2002"/>
      <c r="J44" s="2002"/>
      <c r="K44" s="1043"/>
      <c r="L44" s="1043"/>
      <c r="M44" s="1043"/>
      <c r="N44" s="1043" t="s">
        <v>1000</v>
      </c>
      <c r="O44" s="1043"/>
      <c r="P44" s="1044"/>
      <c r="Q44" s="1535"/>
      <c r="R44" s="1991" t="s">
        <v>606</v>
      </c>
      <c r="S44" s="2004" t="s">
        <v>1018</v>
      </c>
      <c r="T44" s="2036">
        <v>0.58333333333333337</v>
      </c>
      <c r="U44" s="2004">
        <v>20</v>
      </c>
      <c r="V44" s="2160" t="s">
        <v>1365</v>
      </c>
      <c r="W44" s="1991" t="s">
        <v>965</v>
      </c>
      <c r="X44" s="1992" t="s">
        <v>1429</v>
      </c>
      <c r="Y44" s="2036">
        <v>0.58333333333333337</v>
      </c>
      <c r="Z44" s="2006">
        <v>15</v>
      </c>
      <c r="AA44" s="2160"/>
      <c r="AB44" s="2559" t="s">
        <v>1361</v>
      </c>
      <c r="AC44" s="1992"/>
      <c r="AD44" s="2026"/>
      <c r="AE44" s="2006"/>
      <c r="AF44" s="2160"/>
      <c r="AG44" s="2006" t="s">
        <v>1227</v>
      </c>
      <c r="AH44" s="1992" t="s">
        <v>1018</v>
      </c>
      <c r="AI44" s="2149">
        <v>0.625</v>
      </c>
      <c r="AJ44" s="2006">
        <v>5</v>
      </c>
      <c r="AK44" s="2160"/>
      <c r="AL44" s="1991" t="s">
        <v>1211</v>
      </c>
      <c r="AM44" s="1992" t="s">
        <v>1018</v>
      </c>
      <c r="AN44" s="2149">
        <v>0.625</v>
      </c>
      <c r="AO44" s="2035">
        <v>5</v>
      </c>
      <c r="AP44" s="2130"/>
      <c r="AQ44" s="2006"/>
      <c r="AR44" s="2119"/>
      <c r="AS44" s="1555"/>
      <c r="AT44" s="1790"/>
      <c r="AU44" s="1790"/>
      <c r="AV44" s="1790"/>
      <c r="AW44" s="1790"/>
      <c r="AX44" s="1554"/>
      <c r="AY44" s="1554"/>
    </row>
    <row r="45" spans="2:51" ht="30" customHeight="1" thickBot="1">
      <c r="B45" s="1984"/>
      <c r="C45" s="1994"/>
      <c r="D45" s="2064"/>
      <c r="E45" s="2064"/>
      <c r="F45" s="2056"/>
      <c r="G45" s="2056"/>
      <c r="H45" s="2001"/>
      <c r="I45" s="2003"/>
      <c r="J45" s="2003"/>
      <c r="K45" s="1041"/>
      <c r="L45" s="1041"/>
      <c r="M45" s="1041"/>
      <c r="N45" s="1041"/>
      <c r="O45" s="1041"/>
      <c r="P45" s="1042"/>
      <c r="R45" s="1991"/>
      <c r="S45" s="2005"/>
      <c r="T45" s="2037"/>
      <c r="U45" s="2005"/>
      <c r="V45" s="2147"/>
      <c r="W45" s="1991"/>
      <c r="X45" s="1992"/>
      <c r="Y45" s="2037"/>
      <c r="Z45" s="2006"/>
      <c r="AA45" s="2147"/>
      <c r="AB45" s="2559"/>
      <c r="AC45" s="1992"/>
      <c r="AD45" s="2005"/>
      <c r="AE45" s="2006"/>
      <c r="AF45" s="2147"/>
      <c r="AG45" s="2006"/>
      <c r="AH45" s="1992"/>
      <c r="AI45" s="2152"/>
      <c r="AJ45" s="2006"/>
      <c r="AK45" s="2147"/>
      <c r="AL45" s="1991"/>
      <c r="AM45" s="1992"/>
      <c r="AN45" s="2152"/>
      <c r="AO45" s="2035"/>
      <c r="AP45" s="2129"/>
      <c r="AQ45" s="2006"/>
      <c r="AR45" s="2119"/>
      <c r="AS45" s="1555"/>
      <c r="AT45" s="1790"/>
      <c r="AU45" s="1790"/>
      <c r="AV45" s="1790"/>
      <c r="AW45" s="1790"/>
      <c r="AX45" s="1554"/>
      <c r="AY45" s="1554"/>
    </row>
    <row r="46" spans="2:51" s="971" customFormat="1" ht="12.75" customHeight="1">
      <c r="B46" s="1984">
        <v>22</v>
      </c>
      <c r="C46" s="1993"/>
      <c r="D46" s="2083" t="s">
        <v>723</v>
      </c>
      <c r="E46" s="2063">
        <v>0.58333333333333337</v>
      </c>
      <c r="F46" s="2055" t="s">
        <v>960</v>
      </c>
      <c r="G46" s="2055" t="s">
        <v>969</v>
      </c>
      <c r="H46" s="2000" t="s">
        <v>1013</v>
      </c>
      <c r="I46" s="2084"/>
      <c r="J46" s="2084"/>
      <c r="K46" s="998"/>
      <c r="L46" s="998"/>
      <c r="M46" s="998"/>
      <c r="N46" s="998"/>
      <c r="O46" s="998" t="s">
        <v>1000</v>
      </c>
      <c r="P46" s="999"/>
      <c r="Q46" s="1535"/>
      <c r="R46" s="1991" t="s">
        <v>974</v>
      </c>
      <c r="S46" s="2004" t="s">
        <v>1018</v>
      </c>
      <c r="T46" s="2036">
        <v>0.58333333333333337</v>
      </c>
      <c r="U46" s="2004">
        <v>10</v>
      </c>
      <c r="V46" s="2160" t="s">
        <v>1365</v>
      </c>
      <c r="W46" s="1991" t="s">
        <v>968</v>
      </c>
      <c r="X46" s="1992" t="s">
        <v>1429</v>
      </c>
      <c r="Y46" s="2036">
        <v>0.58333333333333337</v>
      </c>
      <c r="Z46" s="2006">
        <v>15</v>
      </c>
      <c r="AA46" s="2160"/>
      <c r="AB46" s="2006"/>
      <c r="AC46" s="1992"/>
      <c r="AD46" s="2004"/>
      <c r="AE46" s="2006"/>
      <c r="AF46" s="2160"/>
      <c r="AG46" s="2014" t="s">
        <v>1246</v>
      </c>
      <c r="AH46" s="2005" t="s">
        <v>1018</v>
      </c>
      <c r="AI46" s="2029">
        <v>0.45833333333333331</v>
      </c>
      <c r="AJ46" s="1988">
        <v>15</v>
      </c>
      <c r="AK46" s="2160"/>
      <c r="AL46" s="2006"/>
      <c r="AM46" s="1992"/>
      <c r="AN46" s="2004"/>
      <c r="AO46" s="2035"/>
      <c r="AP46" s="2130"/>
      <c r="AQ46" s="2006"/>
      <c r="AR46" s="2119"/>
      <c r="AS46" s="1555"/>
      <c r="AT46" s="1790"/>
      <c r="AU46" s="1790"/>
      <c r="AV46" s="1790"/>
      <c r="AW46" s="1790"/>
      <c r="AX46" s="1554"/>
      <c r="AY46" s="1554"/>
    </row>
    <row r="47" spans="2:51" ht="30" customHeight="1" thickBot="1">
      <c r="B47" s="1984"/>
      <c r="C47" s="1994"/>
      <c r="D47" s="2064"/>
      <c r="E47" s="2064"/>
      <c r="F47" s="2056"/>
      <c r="G47" s="2056"/>
      <c r="H47" s="2001"/>
      <c r="I47" s="2085"/>
      <c r="J47" s="2085"/>
      <c r="K47" s="994"/>
      <c r="L47" s="994"/>
      <c r="M47" s="994"/>
      <c r="N47" s="994"/>
      <c r="O47" s="994"/>
      <c r="P47" s="995"/>
      <c r="R47" s="1991"/>
      <c r="S47" s="2005"/>
      <c r="T47" s="2037"/>
      <c r="U47" s="2005"/>
      <c r="V47" s="2147"/>
      <c r="W47" s="1991"/>
      <c r="X47" s="1992"/>
      <c r="Y47" s="2037"/>
      <c r="Z47" s="2006"/>
      <c r="AA47" s="2147"/>
      <c r="AB47" s="2006"/>
      <c r="AC47" s="1992"/>
      <c r="AD47" s="2005"/>
      <c r="AE47" s="2006"/>
      <c r="AF47" s="2147"/>
      <c r="AG47" s="1991"/>
      <c r="AH47" s="1992"/>
      <c r="AI47" s="2030"/>
      <c r="AJ47" s="2006"/>
      <c r="AK47" s="2147"/>
      <c r="AL47" s="2006"/>
      <c r="AM47" s="1992"/>
      <c r="AN47" s="2005"/>
      <c r="AO47" s="2035"/>
      <c r="AP47" s="2129"/>
      <c r="AQ47" s="2006"/>
      <c r="AR47" s="2119"/>
      <c r="AS47" s="1555"/>
      <c r="AT47" s="88"/>
      <c r="AU47" s="88"/>
      <c r="AV47" s="88"/>
      <c r="AW47" s="88"/>
      <c r="AX47" s="1554"/>
      <c r="AY47" s="1554"/>
    </row>
    <row r="48" spans="2:51" s="971" customFormat="1" ht="12.75" customHeight="1">
      <c r="B48" s="1984">
        <v>23</v>
      </c>
      <c r="C48" s="1993"/>
      <c r="D48" s="2083" t="s">
        <v>723</v>
      </c>
      <c r="E48" s="2063">
        <v>0.58333333333333337</v>
      </c>
      <c r="F48" s="2055" t="s">
        <v>1163</v>
      </c>
      <c r="G48" s="2055" t="s">
        <v>4</v>
      </c>
      <c r="H48" s="2000" t="s">
        <v>1014</v>
      </c>
      <c r="I48" s="2002"/>
      <c r="J48" s="2002"/>
      <c r="K48" s="1043"/>
      <c r="L48" s="1043"/>
      <c r="M48" s="1043" t="s">
        <v>1000</v>
      </c>
      <c r="N48" s="1043" t="s">
        <v>1000</v>
      </c>
      <c r="O48" s="1043" t="s">
        <v>1000</v>
      </c>
      <c r="P48" s="1044" t="s">
        <v>1000</v>
      </c>
      <c r="Q48" s="4"/>
      <c r="R48" s="1991" t="s">
        <v>964</v>
      </c>
      <c r="S48" s="1992" t="s">
        <v>1018</v>
      </c>
      <c r="T48" s="2149">
        <v>0.66666666666666663</v>
      </c>
      <c r="U48" s="2006">
        <v>20</v>
      </c>
      <c r="V48" s="2035" t="s">
        <v>1365</v>
      </c>
      <c r="W48" s="2027" t="s">
        <v>1214</v>
      </c>
      <c r="X48" s="1992" t="s">
        <v>1018</v>
      </c>
      <c r="Y48" s="2026">
        <v>0.58333333333333337</v>
      </c>
      <c r="Z48" s="2006">
        <v>20</v>
      </c>
      <c r="AA48" s="2035"/>
      <c r="AB48" s="2006"/>
      <c r="AC48" s="1992"/>
      <c r="AD48" s="2004"/>
      <c r="AE48" s="2006"/>
      <c r="AF48" s="2035"/>
      <c r="AG48" s="1991" t="s">
        <v>1204</v>
      </c>
      <c r="AH48" s="1992" t="s">
        <v>1018</v>
      </c>
      <c r="AI48" s="2036">
        <v>0.58333333333333337</v>
      </c>
      <c r="AJ48" s="2006">
        <v>15</v>
      </c>
      <c r="AK48" s="2035"/>
      <c r="AL48" s="2006"/>
      <c r="AM48" s="1992"/>
      <c r="AN48" s="2004"/>
      <c r="AO48" s="2035"/>
      <c r="AP48" s="2035"/>
      <c r="AQ48" s="2006"/>
      <c r="AR48" s="2119"/>
      <c r="AS48" s="1555"/>
      <c r="AT48" s="1792"/>
      <c r="AU48" s="1792"/>
      <c r="AV48" s="1792"/>
      <c r="AW48" s="1792"/>
      <c r="AX48" s="1554"/>
      <c r="AY48" s="1554"/>
    </row>
    <row r="49" spans="2:51" ht="30" customHeight="1" thickBot="1">
      <c r="B49" s="1984"/>
      <c r="C49" s="1994"/>
      <c r="D49" s="2064"/>
      <c r="E49" s="2064"/>
      <c r="F49" s="2056"/>
      <c r="G49" s="2056"/>
      <c r="H49" s="2001"/>
      <c r="I49" s="2003"/>
      <c r="J49" s="2003"/>
      <c r="K49" s="1041"/>
      <c r="L49" s="1041"/>
      <c r="M49" s="1041"/>
      <c r="N49" s="1041"/>
      <c r="O49" s="1041"/>
      <c r="P49" s="1042"/>
      <c r="R49" s="1991"/>
      <c r="S49" s="1992"/>
      <c r="T49" s="2152"/>
      <c r="U49" s="2006"/>
      <c r="V49" s="2035"/>
      <c r="W49" s="2027"/>
      <c r="X49" s="1992"/>
      <c r="Y49" s="2005"/>
      <c r="Z49" s="2006"/>
      <c r="AA49" s="2035"/>
      <c r="AB49" s="2006"/>
      <c r="AC49" s="1992"/>
      <c r="AD49" s="2005"/>
      <c r="AE49" s="2006"/>
      <c r="AF49" s="2035"/>
      <c r="AG49" s="1991"/>
      <c r="AH49" s="1992"/>
      <c r="AI49" s="2037"/>
      <c r="AJ49" s="2006"/>
      <c r="AK49" s="2035"/>
      <c r="AL49" s="2006"/>
      <c r="AM49" s="1992"/>
      <c r="AN49" s="2005"/>
      <c r="AO49" s="2035"/>
      <c r="AP49" s="2035"/>
      <c r="AQ49" s="2006"/>
      <c r="AR49" s="2119"/>
      <c r="AS49" s="1555"/>
      <c r="AT49" s="88"/>
      <c r="AU49" s="88"/>
      <c r="AV49" s="88"/>
      <c r="AW49" s="88"/>
      <c r="AX49" s="1554"/>
      <c r="AY49" s="1554"/>
    </row>
    <row r="50" spans="2:51" s="971" customFormat="1" ht="12.75" customHeight="1">
      <c r="B50" s="1984">
        <v>24</v>
      </c>
      <c r="C50" s="1993"/>
      <c r="D50" s="2083" t="s">
        <v>723</v>
      </c>
      <c r="E50" s="2063">
        <v>0.58333333333333337</v>
      </c>
      <c r="F50" s="2091" t="s">
        <v>999</v>
      </c>
      <c r="G50" s="2091" t="s">
        <v>4</v>
      </c>
      <c r="H50" s="2000" t="s">
        <v>1016</v>
      </c>
      <c r="I50" s="2084"/>
      <c r="J50" s="2084"/>
      <c r="K50" s="998"/>
      <c r="L50" s="998" t="s">
        <v>1000</v>
      </c>
      <c r="M50" s="998" t="s">
        <v>1000</v>
      </c>
      <c r="N50" s="998" t="s">
        <v>1000</v>
      </c>
      <c r="O50" s="998" t="s">
        <v>1000</v>
      </c>
      <c r="P50" s="999" t="s">
        <v>1000</v>
      </c>
      <c r="Q50" s="1535"/>
      <c r="R50" s="1991" t="s">
        <v>959</v>
      </c>
      <c r="S50" s="1992" t="s">
        <v>1199</v>
      </c>
      <c r="T50" s="2149">
        <v>0.66666666666666663</v>
      </c>
      <c r="U50" s="2006">
        <v>20</v>
      </c>
      <c r="V50" s="2035" t="s">
        <v>1365</v>
      </c>
      <c r="W50" s="2027" t="s">
        <v>973</v>
      </c>
      <c r="X50" s="1992" t="s">
        <v>1219</v>
      </c>
      <c r="Y50" s="2026">
        <v>0.58333333333333337</v>
      </c>
      <c r="Z50" s="2006">
        <v>15</v>
      </c>
      <c r="AA50" s="2035"/>
      <c r="AB50" s="2006"/>
      <c r="AC50" s="1992"/>
      <c r="AD50" s="2004"/>
      <c r="AE50" s="2006"/>
      <c r="AF50" s="2035"/>
      <c r="AG50" s="1991"/>
      <c r="AH50" s="1992"/>
      <c r="AI50" s="2157"/>
      <c r="AJ50" s="2006"/>
      <c r="AK50" s="2035"/>
      <c r="AL50" s="2006"/>
      <c r="AM50" s="1992"/>
      <c r="AN50" s="2004"/>
      <c r="AO50" s="2035"/>
      <c r="AP50" s="2035"/>
      <c r="AQ50" s="2006"/>
      <c r="AR50" s="2119"/>
      <c r="AS50" s="1555"/>
      <c r="AT50" s="1792"/>
      <c r="AU50" s="1792"/>
      <c r="AV50" s="1792"/>
      <c r="AW50" s="1792"/>
      <c r="AX50" s="1554"/>
      <c r="AY50" s="1554"/>
    </row>
    <row r="51" spans="2:51" ht="30" customHeight="1" thickBot="1">
      <c r="B51" s="1984"/>
      <c r="C51" s="1994"/>
      <c r="D51" s="2064"/>
      <c r="E51" s="2064"/>
      <c r="F51" s="2092"/>
      <c r="G51" s="2092"/>
      <c r="H51" s="2001"/>
      <c r="I51" s="2085"/>
      <c r="J51" s="2085"/>
      <c r="K51" s="994"/>
      <c r="L51" s="994"/>
      <c r="M51" s="994"/>
      <c r="N51" s="994"/>
      <c r="O51" s="994"/>
      <c r="P51" s="995"/>
      <c r="R51" s="1991"/>
      <c r="S51" s="1992"/>
      <c r="T51" s="2152"/>
      <c r="U51" s="2006"/>
      <c r="V51" s="2035"/>
      <c r="W51" s="2027"/>
      <c r="X51" s="1992"/>
      <c r="Y51" s="2005"/>
      <c r="Z51" s="2006"/>
      <c r="AA51" s="2035"/>
      <c r="AB51" s="2006"/>
      <c r="AC51" s="1992"/>
      <c r="AD51" s="2005"/>
      <c r="AE51" s="2006"/>
      <c r="AF51" s="2035"/>
      <c r="AG51" s="1991"/>
      <c r="AH51" s="1992"/>
      <c r="AI51" s="2158"/>
      <c r="AJ51" s="2006"/>
      <c r="AK51" s="2035"/>
      <c r="AL51" s="2006"/>
      <c r="AM51" s="1992"/>
      <c r="AN51" s="2005"/>
      <c r="AO51" s="2035"/>
      <c r="AP51" s="2035"/>
      <c r="AQ51" s="2006"/>
      <c r="AR51" s="2119"/>
      <c r="AS51" s="1555"/>
      <c r="AT51" s="88"/>
      <c r="AU51" s="88"/>
      <c r="AV51" s="88"/>
      <c r="AW51" s="88"/>
      <c r="AX51" s="1554"/>
      <c r="AY51" s="1554"/>
    </row>
    <row r="52" spans="2:51" s="971" customFormat="1" ht="12.75" customHeight="1">
      <c r="B52" s="1984">
        <v>25</v>
      </c>
      <c r="C52" s="2075"/>
      <c r="D52" s="2087" t="s">
        <v>724</v>
      </c>
      <c r="E52" s="2073">
        <v>0.45833333333333331</v>
      </c>
      <c r="F52" s="1998" t="s">
        <v>1157</v>
      </c>
      <c r="G52" s="1998" t="s">
        <v>4</v>
      </c>
      <c r="H52" s="2000" t="s">
        <v>1012</v>
      </c>
      <c r="I52" s="2002"/>
      <c r="J52" s="2002"/>
      <c r="K52" s="1043"/>
      <c r="L52" s="1043" t="s">
        <v>1000</v>
      </c>
      <c r="M52" s="1043"/>
      <c r="N52" s="1043" t="s">
        <v>1000</v>
      </c>
      <c r="O52" s="1043"/>
      <c r="P52" s="1044" t="s">
        <v>1000</v>
      </c>
      <c r="Q52" s="1546"/>
      <c r="R52" s="1991" t="s">
        <v>1215</v>
      </c>
      <c r="S52" s="1992" t="s">
        <v>1199</v>
      </c>
      <c r="T52" s="2149">
        <v>0.66666666666666663</v>
      </c>
      <c r="U52" s="2006">
        <v>25</v>
      </c>
      <c r="V52" s="2035" t="s">
        <v>1365</v>
      </c>
      <c r="W52" s="2027"/>
      <c r="X52" s="1992"/>
      <c r="Y52" s="2004"/>
      <c r="Z52" s="2006"/>
      <c r="AA52" s="2035"/>
      <c r="AB52" s="2006"/>
      <c r="AC52" s="1992"/>
      <c r="AD52" s="2004"/>
      <c r="AE52" s="2006"/>
      <c r="AF52" s="2035"/>
      <c r="AG52" s="2027"/>
      <c r="AH52" s="1992"/>
      <c r="AI52" s="2157"/>
      <c r="AJ52" s="2006"/>
      <c r="AK52" s="2035"/>
      <c r="AL52" s="2006"/>
      <c r="AM52" s="1992"/>
      <c r="AN52" s="2004"/>
      <c r="AO52" s="2035"/>
      <c r="AP52" s="2035"/>
      <c r="AQ52" s="2006"/>
      <c r="AR52" s="2119"/>
      <c r="AS52" s="1555"/>
      <c r="AT52" s="1554"/>
      <c r="AU52" s="1554"/>
      <c r="AV52" s="1554"/>
      <c r="AW52" s="1554"/>
      <c r="AX52" s="1554"/>
      <c r="AY52" s="1554"/>
    </row>
    <row r="53" spans="2:51" ht="30" customHeight="1" thickBot="1">
      <c r="B53" s="1984"/>
      <c r="C53" s="2076"/>
      <c r="D53" s="2074"/>
      <c r="E53" s="2074"/>
      <c r="F53" s="1999"/>
      <c r="G53" s="1999"/>
      <c r="H53" s="2001"/>
      <c r="I53" s="2003"/>
      <c r="J53" s="2003"/>
      <c r="K53" s="1041"/>
      <c r="L53" s="1041"/>
      <c r="M53" s="1041"/>
      <c r="N53" s="1041"/>
      <c r="O53" s="1041"/>
      <c r="P53" s="1042"/>
      <c r="Q53" s="1546"/>
      <c r="R53" s="1991"/>
      <c r="S53" s="1992"/>
      <c r="T53" s="2152"/>
      <c r="U53" s="2006"/>
      <c r="V53" s="2035"/>
      <c r="W53" s="2027"/>
      <c r="X53" s="1992"/>
      <c r="Y53" s="2005"/>
      <c r="Z53" s="2006"/>
      <c r="AA53" s="2035"/>
      <c r="AB53" s="2006"/>
      <c r="AC53" s="1992"/>
      <c r="AD53" s="2005"/>
      <c r="AE53" s="2006"/>
      <c r="AF53" s="2035"/>
      <c r="AG53" s="2027"/>
      <c r="AH53" s="1992"/>
      <c r="AI53" s="2158"/>
      <c r="AJ53" s="2006"/>
      <c r="AK53" s="2035"/>
      <c r="AL53" s="2006"/>
      <c r="AM53" s="1992"/>
      <c r="AN53" s="2005"/>
      <c r="AO53" s="2035"/>
      <c r="AP53" s="2035"/>
      <c r="AQ53" s="2006"/>
      <c r="AR53" s="2119"/>
      <c r="AS53" s="1555"/>
      <c r="AT53" s="1554"/>
      <c r="AU53" s="1554"/>
      <c r="AV53" s="1554"/>
      <c r="AW53" s="1554"/>
      <c r="AX53" s="1554"/>
      <c r="AY53" s="1554"/>
    </row>
    <row r="54" spans="2:51" ht="12.75" customHeight="1">
      <c r="B54" s="1984">
        <v>26</v>
      </c>
      <c r="C54" s="2100"/>
      <c r="D54" s="2087" t="s">
        <v>724</v>
      </c>
      <c r="E54" s="2073">
        <v>0.45833333333333331</v>
      </c>
      <c r="F54" s="2051" t="s">
        <v>1017</v>
      </c>
      <c r="G54" s="2051" t="s">
        <v>4</v>
      </c>
      <c r="H54" s="2095" t="s">
        <v>1012</v>
      </c>
      <c r="I54" s="2084"/>
      <c r="J54" s="2084"/>
      <c r="K54" s="1000"/>
      <c r="L54" s="1000"/>
      <c r="M54" s="1000"/>
      <c r="N54" s="1000" t="s">
        <v>1000</v>
      </c>
      <c r="O54" s="1000"/>
      <c r="P54" s="1001"/>
      <c r="R54" s="2027" t="s">
        <v>1213</v>
      </c>
      <c r="S54" s="1992" t="s">
        <v>1199</v>
      </c>
      <c r="T54" s="2036">
        <v>0.58333333333333337</v>
      </c>
      <c r="U54" s="2006">
        <v>20</v>
      </c>
      <c r="V54" s="2035" t="s">
        <v>1365</v>
      </c>
      <c r="W54" s="2027"/>
      <c r="X54" s="1992"/>
      <c r="Y54" s="2004"/>
      <c r="Z54" s="2006"/>
      <c r="AA54" s="2035"/>
      <c r="AB54" s="2006"/>
      <c r="AC54" s="1992"/>
      <c r="AD54" s="2004"/>
      <c r="AE54" s="2006"/>
      <c r="AF54" s="2035"/>
      <c r="AG54" s="2171"/>
      <c r="AH54" s="1992"/>
      <c r="AI54" s="2157"/>
      <c r="AJ54" s="2006"/>
      <c r="AK54" s="2035"/>
      <c r="AL54" s="2006"/>
      <c r="AM54" s="1992"/>
      <c r="AN54" s="2004"/>
      <c r="AO54" s="2035"/>
      <c r="AP54" s="2035"/>
      <c r="AQ54" s="2006"/>
      <c r="AR54" s="2119"/>
      <c r="AS54" s="2043"/>
    </row>
    <row r="55" spans="2:51" ht="30" customHeight="1" thickBot="1">
      <c r="B55" s="1984"/>
      <c r="C55" s="2076"/>
      <c r="D55" s="2074"/>
      <c r="E55" s="2074"/>
      <c r="F55" s="2052"/>
      <c r="G55" s="2052"/>
      <c r="H55" s="2001"/>
      <c r="I55" s="2085"/>
      <c r="J55" s="2085"/>
      <c r="K55" s="994"/>
      <c r="L55" s="994"/>
      <c r="M55" s="994"/>
      <c r="N55" s="994"/>
      <c r="O55" s="994"/>
      <c r="P55" s="995"/>
      <c r="R55" s="2168"/>
      <c r="S55" s="2016"/>
      <c r="T55" s="2169"/>
      <c r="U55" s="2134"/>
      <c r="V55" s="2159"/>
      <c r="W55" s="2168"/>
      <c r="X55" s="2016"/>
      <c r="Y55" s="2170"/>
      <c r="Z55" s="2134"/>
      <c r="AA55" s="2159"/>
      <c r="AB55" s="2134"/>
      <c r="AC55" s="2016"/>
      <c r="AD55" s="2170"/>
      <c r="AE55" s="2134"/>
      <c r="AF55" s="2159"/>
      <c r="AG55" s="2172"/>
      <c r="AH55" s="2016"/>
      <c r="AI55" s="2173"/>
      <c r="AJ55" s="2134"/>
      <c r="AK55" s="2159"/>
      <c r="AL55" s="2134"/>
      <c r="AM55" s="2016"/>
      <c r="AN55" s="2170"/>
      <c r="AO55" s="2159"/>
      <c r="AP55" s="2159"/>
      <c r="AQ55" s="2134"/>
      <c r="AR55" s="2135"/>
      <c r="AS55" s="2043"/>
    </row>
    <row r="56" spans="2:51" s="971" customFormat="1" ht="12.75" customHeight="1">
      <c r="B56" s="1984">
        <v>27</v>
      </c>
      <c r="C56" s="1993"/>
      <c r="D56" s="2087" t="s">
        <v>724</v>
      </c>
      <c r="E56" s="2073">
        <v>0.45833333333333331</v>
      </c>
      <c r="F56" s="2055" t="s">
        <v>962</v>
      </c>
      <c r="G56" s="2055" t="s">
        <v>724</v>
      </c>
      <c r="H56" s="2000" t="s">
        <v>1013</v>
      </c>
      <c r="I56" s="2101"/>
      <c r="J56" s="2101"/>
      <c r="K56" s="1043"/>
      <c r="L56" s="1043" t="s">
        <v>1000</v>
      </c>
      <c r="M56" s="1043" t="s">
        <v>1000</v>
      </c>
      <c r="N56" s="1043"/>
      <c r="O56" s="1043"/>
      <c r="P56" s="1044"/>
      <c r="Q56" s="1535"/>
      <c r="R56" s="2143" t="s">
        <v>1371</v>
      </c>
      <c r="S56" s="2161">
        <f>(SUMIFS(U32:U55,S32:S55,"S")+SUMIFS(U32:U55,S32:S55,"E"))/60/24</f>
        <v>0.10069444444444443</v>
      </c>
      <c r="T56" s="2162"/>
      <c r="U56" s="2163"/>
      <c r="V56" s="1762"/>
      <c r="W56" s="2143" t="s">
        <v>1371</v>
      </c>
      <c r="X56" s="2161">
        <f>(SUMIFS(Z32:Z55,X32:X55,"S")+SUMIFS(Z32:Z55,X32:X55,"E"))/60/24</f>
        <v>7.9861111111111119E-2</v>
      </c>
      <c r="Y56" s="2162"/>
      <c r="Z56" s="2163"/>
      <c r="AA56" s="1763"/>
      <c r="AB56" s="2143" t="s">
        <v>1371</v>
      </c>
      <c r="AC56" s="2161">
        <f>(SUMIFS(AE32:AE55,AC32:AC55,"S")+SUMIFS(AE32:AE55,AC32:AC55,"E"))/60/24</f>
        <v>1.7361111111111112E-2</v>
      </c>
      <c r="AD56" s="2167"/>
      <c r="AE56" s="2163"/>
      <c r="AF56" s="1763"/>
      <c r="AG56" s="2143" t="s">
        <v>1371</v>
      </c>
      <c r="AH56" s="2161">
        <f>(SUMIFS(AJ32:AJ55,AH32:AH55,"S")+SUMIFS(AJ32:AJ55,AH32:AH55,"E"))/60/24</f>
        <v>2.4305555555555556E-2</v>
      </c>
      <c r="AI56" s="2167"/>
      <c r="AJ56" s="2163"/>
      <c r="AK56" s="1763"/>
      <c r="AL56" s="2143" t="s">
        <v>1371</v>
      </c>
      <c r="AM56" s="2161">
        <f>(SUMIFS(AO32:AO55,AM32:AM55,"S")+SUMIFS(AO32:AO55,AM32:AM55,"E"))/60/24</f>
        <v>6.9444444444444448E-2</v>
      </c>
      <c r="AN56" s="2167"/>
      <c r="AO56" s="2163"/>
      <c r="AP56" s="1763"/>
      <c r="AQ56" s="1540"/>
      <c r="AR56" s="1540"/>
      <c r="AS56" s="2043"/>
    </row>
    <row r="57" spans="2:51" ht="30" customHeight="1" thickBot="1">
      <c r="B57" s="1984"/>
      <c r="C57" s="1994"/>
      <c r="D57" s="2074"/>
      <c r="E57" s="2074"/>
      <c r="F57" s="2056"/>
      <c r="G57" s="2056"/>
      <c r="H57" s="2001"/>
      <c r="I57" s="2003"/>
      <c r="J57" s="2003"/>
      <c r="K57" s="1041"/>
      <c r="L57" s="1041"/>
      <c r="M57" s="1041"/>
      <c r="N57" s="1041"/>
      <c r="O57" s="1041"/>
      <c r="P57" s="1042"/>
      <c r="R57" s="2144"/>
      <c r="S57" s="2164"/>
      <c r="T57" s="2165"/>
      <c r="U57" s="2166"/>
      <c r="V57" s="1762"/>
      <c r="W57" s="2144"/>
      <c r="X57" s="2164"/>
      <c r="Y57" s="2165"/>
      <c r="Z57" s="2166"/>
      <c r="AA57" s="1763"/>
      <c r="AB57" s="2144"/>
      <c r="AC57" s="2164"/>
      <c r="AD57" s="2165"/>
      <c r="AE57" s="2166"/>
      <c r="AF57" s="1763"/>
      <c r="AG57" s="2144"/>
      <c r="AH57" s="2164"/>
      <c r="AI57" s="2165"/>
      <c r="AJ57" s="2166"/>
      <c r="AK57" s="1763"/>
      <c r="AL57" s="2144"/>
      <c r="AM57" s="2164"/>
      <c r="AN57" s="2165"/>
      <c r="AO57" s="2166"/>
      <c r="AP57" s="1763"/>
      <c r="AQ57" s="1540"/>
      <c r="AR57" s="1540"/>
      <c r="AS57" s="2043"/>
    </row>
    <row r="58" spans="2:51" s="971" customFormat="1" ht="12.75" customHeight="1" thickBot="1">
      <c r="B58" s="1984">
        <v>28</v>
      </c>
      <c r="C58" s="2075"/>
      <c r="D58" s="2087" t="s">
        <v>724</v>
      </c>
      <c r="E58" s="2073">
        <v>0.45833333333333331</v>
      </c>
      <c r="F58" s="2051" t="s">
        <v>1167</v>
      </c>
      <c r="G58" s="2051" t="s">
        <v>969</v>
      </c>
      <c r="H58" s="2000" t="s">
        <v>1012</v>
      </c>
      <c r="I58" s="2084"/>
      <c r="J58" s="2084"/>
      <c r="K58" s="998" t="s">
        <v>1000</v>
      </c>
      <c r="L58" s="998"/>
      <c r="M58" s="998"/>
      <c r="N58" s="998"/>
      <c r="O58" s="998" t="s">
        <v>1000</v>
      </c>
      <c r="P58" s="999"/>
      <c r="Q58" s="1535"/>
      <c r="R58" s="1541"/>
      <c r="S58" s="1541"/>
      <c r="T58" s="1541"/>
      <c r="U58" s="1541"/>
      <c r="V58" s="1541"/>
      <c r="W58" s="1541"/>
      <c r="X58" s="1541"/>
      <c r="Y58" s="1541"/>
      <c r="Z58" s="1541"/>
      <c r="AA58" s="1543"/>
      <c r="AB58" s="1541"/>
      <c r="AC58" s="1541"/>
      <c r="AD58" s="1541"/>
      <c r="AE58" s="1541"/>
      <c r="AF58" s="1543"/>
      <c r="AG58" s="1541"/>
      <c r="AH58" s="1541"/>
      <c r="AI58" s="1541"/>
      <c r="AJ58" s="1541"/>
      <c r="AK58" s="1543"/>
      <c r="AL58" s="1543"/>
      <c r="AM58" s="1541"/>
      <c r="AN58" s="1541"/>
      <c r="AO58" s="1541"/>
      <c r="AP58" s="1543"/>
      <c r="AQ58" s="1541"/>
      <c r="AR58" s="1540"/>
      <c r="AS58" s="1538"/>
    </row>
    <row r="59" spans="2:51" ht="30" customHeight="1" thickBot="1">
      <c r="B59" s="1984"/>
      <c r="C59" s="2076"/>
      <c r="D59" s="2074"/>
      <c r="E59" s="2074"/>
      <c r="F59" s="2052"/>
      <c r="G59" s="2052"/>
      <c r="H59" s="2001"/>
      <c r="I59" s="2085"/>
      <c r="J59" s="2085"/>
      <c r="K59" s="994"/>
      <c r="L59" s="994"/>
      <c r="M59" s="994"/>
      <c r="N59" s="994"/>
      <c r="O59" s="994"/>
      <c r="P59" s="995"/>
      <c r="R59" s="1547" t="s">
        <v>3</v>
      </c>
      <c r="S59" s="1541"/>
      <c r="T59" s="1541"/>
      <c r="U59" s="1541"/>
      <c r="V59" s="1541"/>
      <c r="W59" s="1547" t="s">
        <v>723</v>
      </c>
      <c r="X59" s="1541"/>
      <c r="Y59" s="1541"/>
      <c r="Z59" s="1541"/>
      <c r="AA59" s="1543"/>
      <c r="AB59" s="1547" t="s">
        <v>724</v>
      </c>
      <c r="AC59" s="1541"/>
      <c r="AD59" s="1541"/>
      <c r="AE59" s="1541"/>
      <c r="AF59" s="1543"/>
      <c r="AG59" s="1547" t="s">
        <v>4</v>
      </c>
      <c r="AH59" s="1541"/>
      <c r="AI59" s="1541"/>
      <c r="AJ59" s="1541"/>
      <c r="AK59" s="1543"/>
      <c r="AL59" s="1547" t="s">
        <v>969</v>
      </c>
      <c r="AM59" s="1541"/>
      <c r="AN59" s="1541"/>
      <c r="AO59" s="1541"/>
      <c r="AP59" s="1543"/>
      <c r="AQ59" s="1548" t="s">
        <v>970</v>
      </c>
      <c r="AR59" s="1540"/>
      <c r="AS59" s="1538"/>
    </row>
    <row r="60" spans="2:51" s="971" customFormat="1" ht="12.75" customHeight="1" thickBot="1">
      <c r="B60" s="1984">
        <v>29</v>
      </c>
      <c r="C60" s="1993"/>
      <c r="D60" s="2087" t="s">
        <v>724</v>
      </c>
      <c r="E60" s="2061">
        <v>0.625</v>
      </c>
      <c r="F60" s="2053" t="s">
        <v>973</v>
      </c>
      <c r="G60" s="2053" t="s">
        <v>4</v>
      </c>
      <c r="H60" s="2000" t="s">
        <v>1015</v>
      </c>
      <c r="I60" s="2002"/>
      <c r="J60" s="2002"/>
      <c r="K60" s="1043"/>
      <c r="L60" s="1043"/>
      <c r="M60" s="1043" t="s">
        <v>1000</v>
      </c>
      <c r="N60" s="1043" t="s">
        <v>1000</v>
      </c>
      <c r="O60" s="1043"/>
      <c r="P60" s="1044"/>
      <c r="Q60" s="1535"/>
      <c r="R60" s="1549"/>
      <c r="S60" s="1549"/>
      <c r="T60" s="1550"/>
      <c r="U60" s="1549"/>
      <c r="V60" s="1549"/>
      <c r="W60" s="1549"/>
      <c r="X60" s="1549"/>
      <c r="Y60" s="1550"/>
      <c r="Z60" s="1549"/>
      <c r="AA60" s="1536"/>
      <c r="AB60" s="1549"/>
      <c r="AC60" s="1549"/>
      <c r="AD60" s="1550"/>
      <c r="AE60" s="1549"/>
      <c r="AF60" s="1536"/>
      <c r="AG60" s="1549"/>
      <c r="AH60" s="1541"/>
      <c r="AI60" s="1541"/>
      <c r="AJ60" s="1541"/>
      <c r="AK60" s="1536"/>
      <c r="AL60" s="1536"/>
      <c r="AM60" s="1536"/>
      <c r="AN60" s="1550"/>
      <c r="AO60" s="1549"/>
      <c r="AP60" s="1536"/>
      <c r="AQ60" s="1536"/>
      <c r="AR60" s="1536"/>
      <c r="AS60" s="1538"/>
    </row>
    <row r="61" spans="2:51" ht="30" customHeight="1" thickBot="1">
      <c r="B61" s="1984"/>
      <c r="C61" s="1994"/>
      <c r="D61" s="2074"/>
      <c r="E61" s="2062"/>
      <c r="F61" s="2054"/>
      <c r="G61" s="2054"/>
      <c r="H61" s="2001"/>
      <c r="I61" s="2003"/>
      <c r="J61" s="2003"/>
      <c r="K61" s="1041"/>
      <c r="L61" s="1041"/>
      <c r="M61" s="1041"/>
      <c r="N61" s="1041"/>
      <c r="O61" s="1041"/>
      <c r="P61" s="1042"/>
      <c r="R61" s="2024" t="s">
        <v>1216</v>
      </c>
      <c r="S61" s="2025"/>
      <c r="T61" s="2017" t="s">
        <v>1048</v>
      </c>
      <c r="U61" s="2018"/>
      <c r="V61" s="1731" t="s">
        <v>1364</v>
      </c>
      <c r="W61" s="2024" t="s">
        <v>1216</v>
      </c>
      <c r="X61" s="2025"/>
      <c r="Y61" s="2017" t="s">
        <v>1048</v>
      </c>
      <c r="Z61" s="2018"/>
      <c r="AA61" s="1731" t="s">
        <v>1364</v>
      </c>
      <c r="AB61" s="2024" t="s">
        <v>1216</v>
      </c>
      <c r="AC61" s="2025"/>
      <c r="AD61" s="2017" t="s">
        <v>1048</v>
      </c>
      <c r="AE61" s="2018"/>
      <c r="AF61" s="1731" t="s">
        <v>1364</v>
      </c>
      <c r="AG61" s="2024" t="s">
        <v>1216</v>
      </c>
      <c r="AH61" s="2025"/>
      <c r="AI61" s="2017" t="s">
        <v>1048</v>
      </c>
      <c r="AJ61" s="2018"/>
      <c r="AK61" s="1731" t="s">
        <v>1364</v>
      </c>
      <c r="AL61" s="2024" t="s">
        <v>1216</v>
      </c>
      <c r="AM61" s="2025"/>
      <c r="AN61" s="2017" t="s">
        <v>1048</v>
      </c>
      <c r="AO61" s="2018"/>
      <c r="AP61" s="1760" t="s">
        <v>1364</v>
      </c>
      <c r="AQ61" s="1551" t="s">
        <v>1216</v>
      </c>
      <c r="AR61" s="1622" t="s">
        <v>1048</v>
      </c>
      <c r="AS61" s="1810"/>
      <c r="AT61" s="1790"/>
      <c r="AU61" s="1790"/>
      <c r="AV61" s="1790"/>
      <c r="AW61" s="1790"/>
      <c r="AX61" s="1790"/>
      <c r="AY61" s="1790"/>
    </row>
    <row r="62" spans="2:51" s="971" customFormat="1" ht="12.75" customHeight="1">
      <c r="B62" s="1984">
        <v>30</v>
      </c>
      <c r="C62" s="1993"/>
      <c r="D62" s="2087" t="s">
        <v>724</v>
      </c>
      <c r="E62" s="2061">
        <v>0.625</v>
      </c>
      <c r="F62" s="2091" t="s">
        <v>978</v>
      </c>
      <c r="G62" s="2091" t="s">
        <v>4</v>
      </c>
      <c r="H62" s="2000" t="s">
        <v>1015</v>
      </c>
      <c r="I62" s="2084"/>
      <c r="J62" s="2084"/>
      <c r="K62" s="998"/>
      <c r="L62" s="998"/>
      <c r="M62" s="998" t="s">
        <v>1000</v>
      </c>
      <c r="N62" s="998" t="s">
        <v>1000</v>
      </c>
      <c r="O62" s="998" t="s">
        <v>1000</v>
      </c>
      <c r="P62" s="999"/>
      <c r="Q62" s="1535"/>
      <c r="R62" s="2031" t="s">
        <v>1217</v>
      </c>
      <c r="S62" s="2032" t="s">
        <v>1199</v>
      </c>
      <c r="T62" s="2120">
        <v>20</v>
      </c>
      <c r="U62" s="2122"/>
      <c r="V62" s="2034"/>
      <c r="W62" s="2031" t="s">
        <v>1217</v>
      </c>
      <c r="X62" s="2032" t="s">
        <v>1199</v>
      </c>
      <c r="Y62" s="2120">
        <v>20</v>
      </c>
      <c r="Z62" s="2122"/>
      <c r="AA62" s="2034"/>
      <c r="AB62" s="2145" t="s">
        <v>1217</v>
      </c>
      <c r="AC62" s="2032" t="s">
        <v>1199</v>
      </c>
      <c r="AD62" s="2120">
        <v>20</v>
      </c>
      <c r="AE62" s="2122"/>
      <c r="AF62" s="2034"/>
      <c r="AG62" s="2145" t="s">
        <v>1217</v>
      </c>
      <c r="AH62" s="2032" t="s">
        <v>1199</v>
      </c>
      <c r="AI62" s="2120">
        <v>20</v>
      </c>
      <c r="AJ62" s="2122"/>
      <c r="AK62" s="2034"/>
      <c r="AL62" s="2145" t="s">
        <v>1217</v>
      </c>
      <c r="AM62" s="2032" t="s">
        <v>1199</v>
      </c>
      <c r="AN62" s="2120">
        <v>20</v>
      </c>
      <c r="AO62" s="2122"/>
      <c r="AP62" s="2211"/>
      <c r="AQ62" s="2031" t="s">
        <v>1217</v>
      </c>
      <c r="AR62" s="2118" t="s">
        <v>1199</v>
      </c>
      <c r="AS62" s="1810"/>
      <c r="AT62" s="1790"/>
      <c r="AU62" s="1790"/>
      <c r="AV62" s="1790"/>
      <c r="AW62" s="1790"/>
      <c r="AX62" s="1790"/>
      <c r="AY62" s="1790"/>
    </row>
    <row r="63" spans="2:51" ht="30" customHeight="1" thickBot="1">
      <c r="B63" s="1984"/>
      <c r="C63" s="1994"/>
      <c r="D63" s="2074"/>
      <c r="E63" s="2062"/>
      <c r="F63" s="2092"/>
      <c r="G63" s="2092"/>
      <c r="H63" s="2001"/>
      <c r="I63" s="2085"/>
      <c r="J63" s="2085"/>
      <c r="K63" s="994"/>
      <c r="L63" s="994"/>
      <c r="M63" s="994"/>
      <c r="N63" s="994"/>
      <c r="O63" s="994"/>
      <c r="P63" s="995"/>
      <c r="R63" s="1991"/>
      <c r="S63" s="1992"/>
      <c r="T63" s="1987"/>
      <c r="U63" s="1988"/>
      <c r="V63" s="2035"/>
      <c r="W63" s="1991"/>
      <c r="X63" s="1992"/>
      <c r="Y63" s="1987"/>
      <c r="Z63" s="1988"/>
      <c r="AA63" s="2035"/>
      <c r="AB63" s="2006"/>
      <c r="AC63" s="1992"/>
      <c r="AD63" s="1987"/>
      <c r="AE63" s="1988"/>
      <c r="AF63" s="2035"/>
      <c r="AG63" s="2006"/>
      <c r="AH63" s="1992"/>
      <c r="AI63" s="1987"/>
      <c r="AJ63" s="1988"/>
      <c r="AK63" s="2035"/>
      <c r="AL63" s="2006"/>
      <c r="AM63" s="1992"/>
      <c r="AN63" s="1987"/>
      <c r="AO63" s="1988"/>
      <c r="AP63" s="2175"/>
      <c r="AQ63" s="1991"/>
      <c r="AR63" s="2119"/>
      <c r="AS63" s="1810"/>
      <c r="AT63" s="1790"/>
      <c r="AU63" s="1790"/>
      <c r="AV63" s="1790"/>
      <c r="AW63" s="1790"/>
      <c r="AX63" s="1790"/>
      <c r="AY63" s="1790"/>
    </row>
    <row r="64" spans="2:51" s="971" customFormat="1" ht="12.75" customHeight="1">
      <c r="B64" s="1984">
        <v>31</v>
      </c>
      <c r="C64" s="1993"/>
      <c r="D64" s="2087" t="s">
        <v>724</v>
      </c>
      <c r="E64" s="2061">
        <v>0.625</v>
      </c>
      <c r="F64" s="2091" t="s">
        <v>975</v>
      </c>
      <c r="G64" s="2091" t="s">
        <v>4</v>
      </c>
      <c r="H64" s="2000" t="s">
        <v>1015</v>
      </c>
      <c r="I64" s="2002"/>
      <c r="J64" s="2002"/>
      <c r="K64" s="1043"/>
      <c r="L64" s="1043"/>
      <c r="M64" s="1043"/>
      <c r="N64" s="1043" t="s">
        <v>1000</v>
      </c>
      <c r="O64" s="1043" t="s">
        <v>1000</v>
      </c>
      <c r="P64" s="1044"/>
      <c r="Q64" s="1535"/>
      <c r="R64" s="1991" t="s">
        <v>1210</v>
      </c>
      <c r="S64" s="2004" t="s">
        <v>1199</v>
      </c>
      <c r="T64" s="1985">
        <v>30</v>
      </c>
      <c r="U64" s="1986"/>
      <c r="V64" s="2146"/>
      <c r="W64" s="1991" t="s">
        <v>971</v>
      </c>
      <c r="X64" s="1992" t="s">
        <v>1018</v>
      </c>
      <c r="Y64" s="1985">
        <v>20</v>
      </c>
      <c r="Z64" s="1986"/>
      <c r="AA64" s="2146"/>
      <c r="AB64" s="2006" t="s">
        <v>961</v>
      </c>
      <c r="AC64" s="1992" t="s">
        <v>1199</v>
      </c>
      <c r="AD64" s="1985">
        <v>30</v>
      </c>
      <c r="AE64" s="1986"/>
      <c r="AF64" s="2146"/>
      <c r="AG64" s="2006" t="s">
        <v>1210</v>
      </c>
      <c r="AH64" s="1992" t="s">
        <v>1199</v>
      </c>
      <c r="AI64" s="1985">
        <v>30</v>
      </c>
      <c r="AJ64" s="1986"/>
      <c r="AK64" s="2146"/>
      <c r="AL64" s="2006" t="s">
        <v>1226</v>
      </c>
      <c r="AM64" s="1992" t="s">
        <v>1018</v>
      </c>
      <c r="AN64" s="1985">
        <v>20</v>
      </c>
      <c r="AO64" s="1986"/>
      <c r="AP64" s="2043"/>
      <c r="AQ64" s="1991" t="s">
        <v>1203</v>
      </c>
      <c r="AR64" s="2119"/>
      <c r="AS64" s="1810"/>
      <c r="AT64" s="1790"/>
      <c r="AU64" s="1790"/>
      <c r="AV64" s="1790"/>
      <c r="AW64" s="1790"/>
      <c r="AX64" s="1790"/>
      <c r="AY64" s="1790"/>
    </row>
    <row r="65" spans="1:51" ht="30" customHeight="1" thickBot="1">
      <c r="B65" s="1984"/>
      <c r="C65" s="1994"/>
      <c r="D65" s="2074"/>
      <c r="E65" s="2062"/>
      <c r="F65" s="2092"/>
      <c r="G65" s="2092"/>
      <c r="H65" s="2001"/>
      <c r="I65" s="2003"/>
      <c r="J65" s="2003"/>
      <c r="K65" s="1041"/>
      <c r="L65" s="1041"/>
      <c r="M65" s="1041"/>
      <c r="N65" s="1041"/>
      <c r="O65" s="1041"/>
      <c r="P65" s="1042"/>
      <c r="R65" s="1991"/>
      <c r="S65" s="2005"/>
      <c r="T65" s="1987"/>
      <c r="U65" s="1988"/>
      <c r="V65" s="2147"/>
      <c r="W65" s="1991"/>
      <c r="X65" s="1992"/>
      <c r="Y65" s="1987"/>
      <c r="Z65" s="1988"/>
      <c r="AA65" s="2147"/>
      <c r="AB65" s="2006"/>
      <c r="AC65" s="1992"/>
      <c r="AD65" s="1987"/>
      <c r="AE65" s="1988"/>
      <c r="AF65" s="2147"/>
      <c r="AG65" s="2006"/>
      <c r="AH65" s="1992"/>
      <c r="AI65" s="1987"/>
      <c r="AJ65" s="1988"/>
      <c r="AK65" s="2147"/>
      <c r="AL65" s="2006"/>
      <c r="AM65" s="1992"/>
      <c r="AN65" s="1987"/>
      <c r="AO65" s="1988"/>
      <c r="AP65" s="2050"/>
      <c r="AQ65" s="1991"/>
      <c r="AR65" s="2119"/>
      <c r="AS65" s="1810"/>
      <c r="AT65" s="1790"/>
      <c r="AU65" s="1790"/>
      <c r="AV65" s="1790"/>
      <c r="AW65" s="1790"/>
      <c r="AX65" s="1790"/>
      <c r="AY65" s="1790"/>
    </row>
    <row r="66" spans="1:51" s="971" customFormat="1" ht="12.75" customHeight="1">
      <c r="B66" s="1984">
        <v>32</v>
      </c>
      <c r="C66" s="2075"/>
      <c r="D66" s="2081" t="s">
        <v>4</v>
      </c>
      <c r="E66" s="2102">
        <v>0.45833333333333331</v>
      </c>
      <c r="F66" s="2096" t="s">
        <v>1177</v>
      </c>
      <c r="G66" s="2096" t="s">
        <v>969</v>
      </c>
      <c r="H66" s="2000" t="s">
        <v>1012</v>
      </c>
      <c r="I66" s="2084"/>
      <c r="J66" s="2084"/>
      <c r="K66" s="998"/>
      <c r="L66" s="998" t="s">
        <v>1000</v>
      </c>
      <c r="M66" s="998"/>
      <c r="N66" s="998"/>
      <c r="O66" s="998" t="s">
        <v>1000</v>
      </c>
      <c r="P66" s="999"/>
      <c r="Q66" s="1535"/>
      <c r="R66" s="1991" t="s">
        <v>1212</v>
      </c>
      <c r="S66" s="2004" t="s">
        <v>1199</v>
      </c>
      <c r="T66" s="1985">
        <v>45</v>
      </c>
      <c r="U66" s="1986"/>
      <c r="V66" s="2160"/>
      <c r="W66" s="1991" t="s">
        <v>972</v>
      </c>
      <c r="X66" s="1992" t="s">
        <v>1199</v>
      </c>
      <c r="Y66" s="1985">
        <v>20</v>
      </c>
      <c r="Z66" s="1986"/>
      <c r="AA66" s="2160"/>
      <c r="AB66" s="2006" t="s">
        <v>958</v>
      </c>
      <c r="AC66" s="1992" t="s">
        <v>1199</v>
      </c>
      <c r="AD66" s="1985">
        <v>20</v>
      </c>
      <c r="AE66" s="1986"/>
      <c r="AF66" s="2160"/>
      <c r="AG66" s="2006" t="s">
        <v>1221</v>
      </c>
      <c r="AH66" s="1992" t="s">
        <v>1199</v>
      </c>
      <c r="AI66" s="1985">
        <v>15</v>
      </c>
      <c r="AJ66" s="1986"/>
      <c r="AK66" s="2160"/>
      <c r="AL66" s="2006" t="s">
        <v>1296</v>
      </c>
      <c r="AM66" s="1992" t="s">
        <v>1018</v>
      </c>
      <c r="AN66" s="1985">
        <v>15</v>
      </c>
      <c r="AO66" s="1986"/>
      <c r="AP66" s="2042"/>
      <c r="AQ66" s="1991" t="s">
        <v>1223</v>
      </c>
      <c r="AR66" s="2119"/>
      <c r="AS66" s="1810"/>
      <c r="AX66" s="1790"/>
      <c r="AY66" s="1790"/>
    </row>
    <row r="67" spans="1:51" ht="30" customHeight="1" thickBot="1">
      <c r="B67" s="1984"/>
      <c r="C67" s="2076"/>
      <c r="D67" s="2082"/>
      <c r="E67" s="2103"/>
      <c r="F67" s="2097"/>
      <c r="G67" s="2097"/>
      <c r="H67" s="2001"/>
      <c r="I67" s="2085"/>
      <c r="J67" s="2085"/>
      <c r="K67" s="994"/>
      <c r="L67" s="994"/>
      <c r="M67" s="994"/>
      <c r="N67" s="994"/>
      <c r="O67" s="994"/>
      <c r="P67" s="995"/>
      <c r="R67" s="1991"/>
      <c r="S67" s="2005"/>
      <c r="T67" s="1987"/>
      <c r="U67" s="1988"/>
      <c r="V67" s="2147"/>
      <c r="W67" s="1991"/>
      <c r="X67" s="1992"/>
      <c r="Y67" s="1987"/>
      <c r="Z67" s="1988"/>
      <c r="AA67" s="2147"/>
      <c r="AB67" s="2006"/>
      <c r="AC67" s="1992"/>
      <c r="AD67" s="1987"/>
      <c r="AE67" s="1988"/>
      <c r="AF67" s="2147"/>
      <c r="AG67" s="2006"/>
      <c r="AH67" s="1992"/>
      <c r="AI67" s="1987"/>
      <c r="AJ67" s="1988"/>
      <c r="AK67" s="2147"/>
      <c r="AL67" s="2006"/>
      <c r="AM67" s="1992"/>
      <c r="AN67" s="1987"/>
      <c r="AO67" s="1988"/>
      <c r="AP67" s="2050"/>
      <c r="AQ67" s="1991"/>
      <c r="AR67" s="2119"/>
      <c r="AS67" s="1810"/>
      <c r="AX67" s="1790"/>
      <c r="AY67" s="1790"/>
    </row>
    <row r="68" spans="1:51" s="971" customFormat="1" ht="12.75" customHeight="1">
      <c r="B68" s="1984">
        <v>33</v>
      </c>
      <c r="C68" s="2075"/>
      <c r="D68" s="2077" t="s">
        <v>4</v>
      </c>
      <c r="E68" s="2088">
        <v>0.45833333333333331</v>
      </c>
      <c r="F68" s="1998" t="s">
        <v>1136</v>
      </c>
      <c r="G68" s="1998" t="s">
        <v>969</v>
      </c>
      <c r="H68" s="2000" t="s">
        <v>1012</v>
      </c>
      <c r="I68" s="2002"/>
      <c r="J68" s="2002"/>
      <c r="K68" s="1043"/>
      <c r="L68" s="1043" t="s">
        <v>1000</v>
      </c>
      <c r="M68" s="1043"/>
      <c r="N68" s="1043"/>
      <c r="O68" s="1043" t="s">
        <v>1000</v>
      </c>
      <c r="P68" s="1044"/>
      <c r="Q68" s="1535"/>
      <c r="R68" s="1991" t="s">
        <v>964</v>
      </c>
      <c r="S68" s="2004" t="s">
        <v>1018</v>
      </c>
      <c r="T68" s="1985">
        <v>20</v>
      </c>
      <c r="U68" s="1986"/>
      <c r="V68" s="2160"/>
      <c r="W68" s="1991" t="s">
        <v>1221</v>
      </c>
      <c r="X68" s="1992" t="s">
        <v>1018</v>
      </c>
      <c r="Y68" s="1985">
        <v>15</v>
      </c>
      <c r="Z68" s="1986"/>
      <c r="AA68" s="2160"/>
      <c r="AB68" s="2006" t="s">
        <v>965</v>
      </c>
      <c r="AC68" s="1992" t="s">
        <v>1199</v>
      </c>
      <c r="AD68" s="1985">
        <v>25</v>
      </c>
      <c r="AE68" s="1986"/>
      <c r="AF68" s="2160"/>
      <c r="AG68" s="2006" t="s">
        <v>966</v>
      </c>
      <c r="AH68" s="1992" t="s">
        <v>1199</v>
      </c>
      <c r="AI68" s="1985">
        <v>25</v>
      </c>
      <c r="AJ68" s="1986"/>
      <c r="AK68" s="2160"/>
      <c r="AL68" s="2006" t="s">
        <v>1225</v>
      </c>
      <c r="AM68" s="1992" t="s">
        <v>1199</v>
      </c>
      <c r="AN68" s="1985">
        <v>15</v>
      </c>
      <c r="AO68" s="1986"/>
      <c r="AP68" s="2042"/>
      <c r="AQ68" s="1991" t="s">
        <v>1221</v>
      </c>
      <c r="AR68" s="2119"/>
      <c r="AS68" s="1810"/>
      <c r="AX68" s="1790"/>
      <c r="AY68" s="1790"/>
    </row>
    <row r="69" spans="1:51" ht="30" customHeight="1" thickBot="1">
      <c r="B69" s="1984"/>
      <c r="C69" s="2076"/>
      <c r="D69" s="2078"/>
      <c r="E69" s="2078"/>
      <c r="F69" s="1999"/>
      <c r="G69" s="1999"/>
      <c r="H69" s="2001"/>
      <c r="I69" s="2003"/>
      <c r="J69" s="2003"/>
      <c r="K69" s="1041"/>
      <c r="L69" s="1041"/>
      <c r="M69" s="1041"/>
      <c r="N69" s="1041"/>
      <c r="O69" s="1041"/>
      <c r="P69" s="1042"/>
      <c r="R69" s="1991"/>
      <c r="S69" s="2005"/>
      <c r="T69" s="1987"/>
      <c r="U69" s="1988"/>
      <c r="V69" s="2147"/>
      <c r="W69" s="1991"/>
      <c r="X69" s="1992"/>
      <c r="Y69" s="1987"/>
      <c r="Z69" s="1988"/>
      <c r="AA69" s="2147"/>
      <c r="AB69" s="2006"/>
      <c r="AC69" s="1992"/>
      <c r="AD69" s="1987"/>
      <c r="AE69" s="1988"/>
      <c r="AF69" s="2147"/>
      <c r="AG69" s="2006"/>
      <c r="AH69" s="1992"/>
      <c r="AI69" s="1987"/>
      <c r="AJ69" s="1988"/>
      <c r="AK69" s="2147"/>
      <c r="AL69" s="2006"/>
      <c r="AM69" s="1992"/>
      <c r="AN69" s="1987"/>
      <c r="AO69" s="1988"/>
      <c r="AP69" s="2050"/>
      <c r="AQ69" s="1991"/>
      <c r="AR69" s="2119"/>
      <c r="AS69" s="1810"/>
      <c r="AX69" s="1790"/>
      <c r="AY69" s="1790"/>
    </row>
    <row r="70" spans="1:51" s="971" customFormat="1" ht="12.75" customHeight="1">
      <c r="B70" s="1984">
        <v>34</v>
      </c>
      <c r="C70" s="2100"/>
      <c r="D70" s="2077" t="s">
        <v>4</v>
      </c>
      <c r="E70" s="2088">
        <v>0.45833333333333331</v>
      </c>
      <c r="F70" s="2098" t="s">
        <v>1158</v>
      </c>
      <c r="G70" s="2098" t="s">
        <v>723</v>
      </c>
      <c r="H70" s="2095" t="s">
        <v>1012</v>
      </c>
      <c r="I70" s="2084"/>
      <c r="J70" s="2084"/>
      <c r="K70" s="998"/>
      <c r="L70" s="998" t="s">
        <v>1000</v>
      </c>
      <c r="M70" s="998" t="s">
        <v>1000</v>
      </c>
      <c r="N70" s="998"/>
      <c r="O70" s="998"/>
      <c r="P70" s="999"/>
      <c r="Q70" s="1535"/>
      <c r="R70" s="1991" t="s">
        <v>1427</v>
      </c>
      <c r="S70" s="2004" t="s">
        <v>1219</v>
      </c>
      <c r="T70" s="1985">
        <v>15</v>
      </c>
      <c r="U70" s="1986"/>
      <c r="V70" s="2160"/>
      <c r="W70" s="1991" t="s">
        <v>1225</v>
      </c>
      <c r="X70" s="1992" t="s">
        <v>1018</v>
      </c>
      <c r="Y70" s="1985">
        <v>15</v>
      </c>
      <c r="Z70" s="1986"/>
      <c r="AA70" s="2160"/>
      <c r="AB70" s="2006" t="s">
        <v>1228</v>
      </c>
      <c r="AC70" s="1992" t="s">
        <v>1018</v>
      </c>
      <c r="AD70" s="1985">
        <v>20</v>
      </c>
      <c r="AE70" s="1986"/>
      <c r="AF70" s="2160"/>
      <c r="AG70" s="2006" t="s">
        <v>968</v>
      </c>
      <c r="AH70" s="1992" t="s">
        <v>1199</v>
      </c>
      <c r="AI70" s="1985">
        <v>20</v>
      </c>
      <c r="AJ70" s="1986"/>
      <c r="AK70" s="2160"/>
      <c r="AL70" s="2006" t="s">
        <v>1245</v>
      </c>
      <c r="AM70" s="1992" t="s">
        <v>1018</v>
      </c>
      <c r="AN70" s="1985">
        <v>20</v>
      </c>
      <c r="AO70" s="1986"/>
      <c r="AP70" s="2042"/>
      <c r="AQ70" s="1991"/>
      <c r="AR70" s="2119"/>
      <c r="AS70" s="1810"/>
      <c r="AX70" s="1790"/>
      <c r="AY70" s="1790"/>
    </row>
    <row r="71" spans="1:51" ht="30" customHeight="1" thickBot="1">
      <c r="B71" s="1984"/>
      <c r="C71" s="2076"/>
      <c r="D71" s="2078"/>
      <c r="E71" s="2078"/>
      <c r="F71" s="2099"/>
      <c r="G71" s="2099"/>
      <c r="H71" s="2001"/>
      <c r="I71" s="2085"/>
      <c r="J71" s="2085"/>
      <c r="K71" s="994"/>
      <c r="L71" s="994"/>
      <c r="M71" s="994"/>
      <c r="N71" s="994"/>
      <c r="O71" s="994"/>
      <c r="P71" s="995"/>
      <c r="R71" s="1991"/>
      <c r="S71" s="2005"/>
      <c r="T71" s="1987"/>
      <c r="U71" s="1988"/>
      <c r="V71" s="2147"/>
      <c r="W71" s="1991"/>
      <c r="X71" s="1992"/>
      <c r="Y71" s="1987"/>
      <c r="Z71" s="1988"/>
      <c r="AA71" s="2147"/>
      <c r="AB71" s="2006"/>
      <c r="AC71" s="1992"/>
      <c r="AD71" s="1987"/>
      <c r="AE71" s="1988"/>
      <c r="AF71" s="2147"/>
      <c r="AG71" s="2006"/>
      <c r="AH71" s="1992"/>
      <c r="AI71" s="1987"/>
      <c r="AJ71" s="1988"/>
      <c r="AK71" s="2147"/>
      <c r="AL71" s="2006"/>
      <c r="AM71" s="1992"/>
      <c r="AN71" s="1987"/>
      <c r="AO71" s="1988"/>
      <c r="AP71" s="2050"/>
      <c r="AQ71" s="1991"/>
      <c r="AR71" s="2119"/>
      <c r="AS71" s="1810"/>
      <c r="AX71" s="1790"/>
      <c r="AY71" s="1790"/>
    </row>
    <row r="72" spans="1:51" s="971" customFormat="1" ht="12.75" customHeight="1">
      <c r="B72" s="1984">
        <v>35</v>
      </c>
      <c r="C72" s="2075"/>
      <c r="D72" s="2077" t="s">
        <v>1154</v>
      </c>
      <c r="E72" s="2088">
        <v>0.45833333333333331</v>
      </c>
      <c r="F72" s="2053" t="s">
        <v>976</v>
      </c>
      <c r="G72" s="2053" t="s">
        <v>969</v>
      </c>
      <c r="H72" s="2000" t="s">
        <v>1012</v>
      </c>
      <c r="I72" s="2002"/>
      <c r="J72" s="2002"/>
      <c r="K72" s="1043"/>
      <c r="L72" s="1043" t="s">
        <v>1000</v>
      </c>
      <c r="M72" s="1043"/>
      <c r="N72" s="1043"/>
      <c r="O72" s="1043" t="s">
        <v>1000</v>
      </c>
      <c r="P72" s="1044"/>
      <c r="Q72" s="1535"/>
      <c r="R72" s="1991" t="s">
        <v>1224</v>
      </c>
      <c r="S72" s="2004" t="s">
        <v>1219</v>
      </c>
      <c r="T72" s="1985">
        <v>15</v>
      </c>
      <c r="U72" s="1986"/>
      <c r="V72" s="2160"/>
      <c r="W72" s="1991" t="s">
        <v>1203</v>
      </c>
      <c r="X72" s="1992" t="s">
        <v>1199</v>
      </c>
      <c r="Y72" s="1985">
        <v>20</v>
      </c>
      <c r="Z72" s="1986"/>
      <c r="AA72" s="2160"/>
      <c r="AB72" s="2006" t="s">
        <v>1218</v>
      </c>
      <c r="AC72" s="1992" t="s">
        <v>1199</v>
      </c>
      <c r="AD72" s="1985">
        <v>25</v>
      </c>
      <c r="AE72" s="1986"/>
      <c r="AF72" s="2130"/>
      <c r="AG72" s="2006" t="s">
        <v>1245</v>
      </c>
      <c r="AH72" s="1992" t="s">
        <v>1018</v>
      </c>
      <c r="AI72" s="1985">
        <v>20</v>
      </c>
      <c r="AJ72" s="1986"/>
      <c r="AK72" s="2160"/>
      <c r="AL72" s="2006" t="s">
        <v>1227</v>
      </c>
      <c r="AM72" s="2004" t="s">
        <v>1018</v>
      </c>
      <c r="AN72" s="1985">
        <v>20</v>
      </c>
      <c r="AO72" s="1986"/>
      <c r="AP72" s="2042"/>
      <c r="AQ72" s="1991"/>
      <c r="AR72" s="2119"/>
      <c r="AS72" s="1810"/>
      <c r="AX72" s="1790"/>
      <c r="AY72" s="1790"/>
    </row>
    <row r="73" spans="1:51" ht="30" customHeight="1" thickBot="1">
      <c r="B73" s="1984"/>
      <c r="C73" s="2076"/>
      <c r="D73" s="2078"/>
      <c r="E73" s="2078"/>
      <c r="F73" s="2054"/>
      <c r="G73" s="2054"/>
      <c r="H73" s="2001"/>
      <c r="I73" s="2003"/>
      <c r="J73" s="2003"/>
      <c r="K73" s="1041"/>
      <c r="L73" s="1041"/>
      <c r="M73" s="1041"/>
      <c r="N73" s="1041"/>
      <c r="O73" s="1041"/>
      <c r="P73" s="1042"/>
      <c r="R73" s="1991"/>
      <c r="S73" s="2005"/>
      <c r="T73" s="1987"/>
      <c r="U73" s="1988"/>
      <c r="V73" s="2147"/>
      <c r="W73" s="1991"/>
      <c r="X73" s="1992"/>
      <c r="Y73" s="1987"/>
      <c r="Z73" s="1988"/>
      <c r="AA73" s="2147"/>
      <c r="AB73" s="2006"/>
      <c r="AC73" s="1992"/>
      <c r="AD73" s="1989"/>
      <c r="AE73" s="1990"/>
      <c r="AF73" s="2174"/>
      <c r="AG73" s="2006"/>
      <c r="AH73" s="1992"/>
      <c r="AI73" s="1987"/>
      <c r="AJ73" s="1988"/>
      <c r="AK73" s="2147"/>
      <c r="AL73" s="2006"/>
      <c r="AM73" s="2005"/>
      <c r="AN73" s="1987"/>
      <c r="AO73" s="1988"/>
      <c r="AP73" s="2050"/>
      <c r="AQ73" s="1991"/>
      <c r="AR73" s="2119"/>
      <c r="AS73" s="1810"/>
      <c r="AX73" s="1790"/>
      <c r="AY73" s="1790"/>
    </row>
    <row r="74" spans="1:51" s="971" customFormat="1" ht="12.75" customHeight="1">
      <c r="B74" s="1984">
        <v>36</v>
      </c>
      <c r="C74" s="1993"/>
      <c r="D74" s="2077" t="s">
        <v>4</v>
      </c>
      <c r="E74" s="2061">
        <v>0.5</v>
      </c>
      <c r="F74" s="2091" t="s">
        <v>964</v>
      </c>
      <c r="G74" s="2091" t="s">
        <v>3</v>
      </c>
      <c r="H74" s="2000" t="s">
        <v>1014</v>
      </c>
      <c r="I74" s="2084"/>
      <c r="J74" s="2084"/>
      <c r="K74" s="998"/>
      <c r="L74" s="998"/>
      <c r="M74" s="998" t="s">
        <v>1000</v>
      </c>
      <c r="N74" s="998" t="s">
        <v>1000</v>
      </c>
      <c r="O74" s="998"/>
      <c r="P74" s="999"/>
      <c r="Q74" s="1535"/>
      <c r="R74" s="1991" t="s">
        <v>972</v>
      </c>
      <c r="S74" s="2004" t="s">
        <v>1219</v>
      </c>
      <c r="T74" s="1985">
        <v>20</v>
      </c>
      <c r="U74" s="1986"/>
      <c r="V74" s="2160"/>
      <c r="W74" s="1991" t="s">
        <v>1220</v>
      </c>
      <c r="X74" s="1992" t="s">
        <v>1199</v>
      </c>
      <c r="Y74" s="1985">
        <v>20</v>
      </c>
      <c r="Z74" s="1986"/>
      <c r="AA74" s="2160"/>
      <c r="AB74" s="2006" t="s">
        <v>1222</v>
      </c>
      <c r="AC74" s="1992" t="s">
        <v>1018</v>
      </c>
      <c r="AD74" s="1989"/>
      <c r="AE74" s="1990"/>
      <c r="AF74" s="2174"/>
      <c r="AG74" s="2044" t="s">
        <v>973</v>
      </c>
      <c r="AH74" s="1992" t="s">
        <v>1199</v>
      </c>
      <c r="AI74" s="1985">
        <v>25</v>
      </c>
      <c r="AJ74" s="1986"/>
      <c r="AK74" s="2160"/>
      <c r="AL74" s="2558" t="s">
        <v>1425</v>
      </c>
      <c r="AM74" s="1992" t="s">
        <v>1199</v>
      </c>
      <c r="AN74" s="1985">
        <v>20</v>
      </c>
      <c r="AO74" s="1986"/>
      <c r="AP74" s="2042"/>
      <c r="AQ74" s="1991"/>
      <c r="AR74" s="2119"/>
      <c r="AS74" s="1810"/>
      <c r="AX74" s="1790"/>
      <c r="AY74" s="1790"/>
    </row>
    <row r="75" spans="1:51" ht="30" customHeight="1" thickBot="1">
      <c r="B75" s="1984"/>
      <c r="C75" s="1994"/>
      <c r="D75" s="2078"/>
      <c r="E75" s="2062"/>
      <c r="F75" s="2092"/>
      <c r="G75" s="2092"/>
      <c r="H75" s="2001"/>
      <c r="I75" s="2085"/>
      <c r="J75" s="2085"/>
      <c r="K75" s="994"/>
      <c r="L75" s="994"/>
      <c r="M75" s="994"/>
      <c r="N75" s="994"/>
      <c r="O75" s="994"/>
      <c r="P75" s="995"/>
      <c r="R75" s="1991"/>
      <c r="S75" s="2005"/>
      <c r="T75" s="1987"/>
      <c r="U75" s="1988"/>
      <c r="V75" s="2147"/>
      <c r="W75" s="1991"/>
      <c r="X75" s="1992"/>
      <c r="Y75" s="1987"/>
      <c r="Z75" s="1988"/>
      <c r="AA75" s="2147"/>
      <c r="AB75" s="2006"/>
      <c r="AC75" s="1992"/>
      <c r="AD75" s="1987"/>
      <c r="AE75" s="1988"/>
      <c r="AF75" s="2129"/>
      <c r="AG75" s="2014"/>
      <c r="AH75" s="1992"/>
      <c r="AI75" s="1987"/>
      <c r="AJ75" s="1988"/>
      <c r="AK75" s="2147"/>
      <c r="AL75" s="2558"/>
      <c r="AM75" s="1992"/>
      <c r="AN75" s="1987"/>
      <c r="AO75" s="1988"/>
      <c r="AP75" s="2050"/>
      <c r="AQ75" s="1991"/>
      <c r="AR75" s="2119"/>
      <c r="AS75" s="1810"/>
      <c r="AX75" s="1790"/>
      <c r="AY75" s="1790"/>
    </row>
    <row r="76" spans="1:51" ht="12.75" customHeight="1">
      <c r="B76" s="1984">
        <v>37</v>
      </c>
      <c r="C76" s="2075"/>
      <c r="D76" s="2077" t="s">
        <v>1154</v>
      </c>
      <c r="E76" s="2088">
        <v>0.58333333333333337</v>
      </c>
      <c r="F76" s="2053" t="s">
        <v>1168</v>
      </c>
      <c r="G76" s="2053" t="s">
        <v>969</v>
      </c>
      <c r="H76" s="2000" t="s">
        <v>1012</v>
      </c>
      <c r="I76" s="2002"/>
      <c r="J76" s="2002"/>
      <c r="K76" s="1043"/>
      <c r="L76" s="1043" t="s">
        <v>1000</v>
      </c>
      <c r="M76" s="1043"/>
      <c r="N76" s="1043"/>
      <c r="O76" s="1043" t="s">
        <v>1000</v>
      </c>
      <c r="P76" s="1044"/>
      <c r="Q76" s="1535"/>
      <c r="R76" s="1991"/>
      <c r="S76" s="2004"/>
      <c r="T76" s="1985"/>
      <c r="U76" s="1986"/>
      <c r="V76" s="2035"/>
      <c r="W76" s="1991" t="s">
        <v>1224</v>
      </c>
      <c r="X76" s="1992" t="s">
        <v>1018</v>
      </c>
      <c r="Y76" s="1985">
        <v>15</v>
      </c>
      <c r="Z76" s="1986"/>
      <c r="AA76" s="2035"/>
      <c r="AB76" s="2006" t="s">
        <v>976</v>
      </c>
      <c r="AC76" s="1992" t="s">
        <v>1018</v>
      </c>
      <c r="AD76" s="1985">
        <v>20</v>
      </c>
      <c r="AE76" s="1986"/>
      <c r="AF76" s="2035"/>
      <c r="AG76" s="2044"/>
      <c r="AH76" s="1992"/>
      <c r="AI76" s="1985"/>
      <c r="AJ76" s="1986"/>
      <c r="AK76" s="2035"/>
      <c r="AL76" s="2006"/>
      <c r="AM76" s="1992"/>
      <c r="AN76" s="1985"/>
      <c r="AO76" s="1986"/>
      <c r="AP76" s="2175"/>
      <c r="AQ76" s="1991"/>
      <c r="AR76" s="2119"/>
      <c r="AS76" s="1810"/>
      <c r="AX76" s="1790"/>
      <c r="AY76" s="1790"/>
    </row>
    <row r="77" spans="1:51" ht="30" customHeight="1" thickBot="1">
      <c r="B77" s="1984"/>
      <c r="C77" s="2076"/>
      <c r="D77" s="2078"/>
      <c r="E77" s="2078"/>
      <c r="F77" s="2054"/>
      <c r="G77" s="2054"/>
      <c r="H77" s="2001"/>
      <c r="I77" s="2003"/>
      <c r="J77" s="2003"/>
      <c r="K77" s="1041"/>
      <c r="L77" s="1041"/>
      <c r="M77" s="1041"/>
      <c r="N77" s="1041"/>
      <c r="O77" s="1041"/>
      <c r="P77" s="1042"/>
      <c r="R77" s="1991"/>
      <c r="S77" s="2005"/>
      <c r="T77" s="1987"/>
      <c r="U77" s="1988"/>
      <c r="V77" s="2035"/>
      <c r="W77" s="1991"/>
      <c r="X77" s="1992"/>
      <c r="Y77" s="1987"/>
      <c r="Z77" s="1988"/>
      <c r="AA77" s="2035"/>
      <c r="AB77" s="2006"/>
      <c r="AC77" s="1992"/>
      <c r="AD77" s="1987"/>
      <c r="AE77" s="1988"/>
      <c r="AF77" s="2035"/>
      <c r="AG77" s="2014"/>
      <c r="AH77" s="1992"/>
      <c r="AI77" s="1987"/>
      <c r="AJ77" s="1988"/>
      <c r="AK77" s="2035"/>
      <c r="AL77" s="2006"/>
      <c r="AM77" s="1992"/>
      <c r="AN77" s="1987"/>
      <c r="AO77" s="1988"/>
      <c r="AP77" s="2175"/>
      <c r="AQ77" s="1991"/>
      <c r="AR77" s="2119"/>
      <c r="AS77" s="1810"/>
      <c r="AX77" s="1790"/>
      <c r="AY77" s="1790"/>
    </row>
    <row r="78" spans="1:51" s="971" customFormat="1" ht="12.75" customHeight="1">
      <c r="B78" s="1984">
        <v>38</v>
      </c>
      <c r="C78" s="2075"/>
      <c r="D78" s="2077" t="s">
        <v>1154</v>
      </c>
      <c r="E78" s="2088">
        <v>0.58333333333333337</v>
      </c>
      <c r="F78" s="2053" t="s">
        <v>1169</v>
      </c>
      <c r="G78" s="2053" t="s">
        <v>970</v>
      </c>
      <c r="H78" s="2000" t="s">
        <v>1012</v>
      </c>
      <c r="I78" s="2084"/>
      <c r="J78" s="2084"/>
      <c r="K78" s="998"/>
      <c r="L78" s="998"/>
      <c r="M78" s="998" t="s">
        <v>1000</v>
      </c>
      <c r="N78" s="998"/>
      <c r="O78" s="998"/>
      <c r="P78" s="999" t="s">
        <v>1000</v>
      </c>
      <c r="Q78" s="1535"/>
      <c r="R78" s="1991"/>
      <c r="S78" s="2004"/>
      <c r="T78" s="1985"/>
      <c r="U78" s="1986"/>
      <c r="V78" s="2175"/>
      <c r="W78" s="1991" t="s">
        <v>967</v>
      </c>
      <c r="X78" s="1992" t="s">
        <v>1199</v>
      </c>
      <c r="Y78" s="1985">
        <v>25</v>
      </c>
      <c r="Z78" s="1986"/>
      <c r="AA78" s="2035"/>
      <c r="AB78" s="2006" t="s">
        <v>1428</v>
      </c>
      <c r="AC78" s="1992" t="s">
        <v>1199</v>
      </c>
      <c r="AD78" s="1985">
        <v>10</v>
      </c>
      <c r="AE78" s="1986"/>
      <c r="AF78" s="2035"/>
      <c r="AG78" s="2044"/>
      <c r="AH78" s="1992"/>
      <c r="AI78" s="1985"/>
      <c r="AJ78" s="1986"/>
      <c r="AK78" s="2035"/>
      <c r="AL78" s="2006"/>
      <c r="AM78" s="1992"/>
      <c r="AN78" s="1985"/>
      <c r="AO78" s="1986"/>
      <c r="AP78" s="2175"/>
      <c r="AQ78" s="1991"/>
      <c r="AR78" s="2119"/>
      <c r="AS78" s="1810"/>
      <c r="AX78" s="1790"/>
      <c r="AY78" s="1790"/>
    </row>
    <row r="79" spans="1:51" ht="30" customHeight="1" thickBot="1">
      <c r="B79" s="1984"/>
      <c r="C79" s="2076"/>
      <c r="D79" s="2078"/>
      <c r="E79" s="2078"/>
      <c r="F79" s="2054"/>
      <c r="G79" s="2054"/>
      <c r="H79" s="2001"/>
      <c r="I79" s="2085"/>
      <c r="J79" s="2085"/>
      <c r="K79" s="994"/>
      <c r="L79" s="994"/>
      <c r="M79" s="994"/>
      <c r="N79" s="994"/>
      <c r="O79" s="994"/>
      <c r="P79" s="995"/>
      <c r="R79" s="1991"/>
      <c r="S79" s="2005"/>
      <c r="T79" s="1987"/>
      <c r="U79" s="1988"/>
      <c r="V79" s="2175"/>
      <c r="W79" s="1991"/>
      <c r="X79" s="1992"/>
      <c r="Y79" s="1987"/>
      <c r="Z79" s="1988"/>
      <c r="AA79" s="2035"/>
      <c r="AB79" s="2006"/>
      <c r="AC79" s="1992"/>
      <c r="AD79" s="1987"/>
      <c r="AE79" s="1988"/>
      <c r="AF79" s="2035"/>
      <c r="AG79" s="2014"/>
      <c r="AH79" s="1992"/>
      <c r="AI79" s="1987"/>
      <c r="AJ79" s="1988"/>
      <c r="AK79" s="2035"/>
      <c r="AL79" s="2006"/>
      <c r="AM79" s="1992"/>
      <c r="AN79" s="1987"/>
      <c r="AO79" s="1988"/>
      <c r="AP79" s="2175"/>
      <c r="AQ79" s="1991"/>
      <c r="AR79" s="2119"/>
      <c r="AS79" s="1810"/>
      <c r="AX79" s="1790"/>
      <c r="AY79" s="1790"/>
    </row>
    <row r="80" spans="1:51" s="971" customFormat="1" ht="12.75" customHeight="1">
      <c r="A80" s="971" t="s">
        <v>1166</v>
      </c>
      <c r="B80" s="1984">
        <v>39</v>
      </c>
      <c r="C80" s="2075"/>
      <c r="D80" s="2077" t="s">
        <v>1154</v>
      </c>
      <c r="E80" s="2088">
        <v>0.58333333333333337</v>
      </c>
      <c r="F80" s="2053" t="s">
        <v>1170</v>
      </c>
      <c r="G80" s="2053" t="s">
        <v>970</v>
      </c>
      <c r="H80" s="2000" t="s">
        <v>1012</v>
      </c>
      <c r="I80" s="2002"/>
      <c r="J80" s="2002"/>
      <c r="K80" s="1217"/>
      <c r="L80" s="1217"/>
      <c r="M80" s="1043" t="s">
        <v>1000</v>
      </c>
      <c r="N80" s="1217"/>
      <c r="O80" s="1217"/>
      <c r="P80" s="1044" t="s">
        <v>1000</v>
      </c>
      <c r="Q80" s="1541"/>
      <c r="R80" s="1991"/>
      <c r="S80" s="2004"/>
      <c r="T80" s="1985"/>
      <c r="U80" s="1986"/>
      <c r="V80" s="2175"/>
      <c r="W80" s="1991" t="s">
        <v>1229</v>
      </c>
      <c r="X80" s="1992" t="s">
        <v>1018</v>
      </c>
      <c r="Y80" s="1985">
        <v>20</v>
      </c>
      <c r="Z80" s="1986"/>
      <c r="AA80" s="2175"/>
      <c r="AB80" s="1991"/>
      <c r="AC80" s="2004"/>
      <c r="AD80" s="1985"/>
      <c r="AE80" s="1986"/>
      <c r="AF80" s="2175"/>
      <c r="AG80" s="1991"/>
      <c r="AH80" s="2004"/>
      <c r="AI80" s="1985"/>
      <c r="AJ80" s="1986"/>
      <c r="AK80" s="2175"/>
      <c r="AL80" s="1991"/>
      <c r="AM80" s="2004"/>
      <c r="AN80" s="1985"/>
      <c r="AO80" s="1986"/>
      <c r="AP80" s="2175"/>
      <c r="AQ80" s="1991"/>
      <c r="AR80" s="2119"/>
      <c r="AS80" s="1790"/>
      <c r="AT80" s="4"/>
      <c r="AU80" s="4"/>
      <c r="AV80" s="4"/>
      <c r="AW80" s="4"/>
      <c r="AX80" s="4"/>
      <c r="AY80" s="4"/>
    </row>
    <row r="81" spans="1:51" ht="30" customHeight="1" thickBot="1">
      <c r="B81" s="1984"/>
      <c r="C81" s="2076"/>
      <c r="D81" s="2078"/>
      <c r="E81" s="2078"/>
      <c r="F81" s="2054"/>
      <c r="G81" s="2054"/>
      <c r="H81" s="2001"/>
      <c r="I81" s="2003"/>
      <c r="J81" s="2003"/>
      <c r="K81" s="1221"/>
      <c r="L81" s="1221"/>
      <c r="M81" s="1221"/>
      <c r="N81" s="1221"/>
      <c r="O81" s="1221"/>
      <c r="P81" s="1222"/>
      <c r="Q81" s="1541"/>
      <c r="R81" s="1991"/>
      <c r="S81" s="2005"/>
      <c r="T81" s="1987"/>
      <c r="U81" s="1988"/>
      <c r="V81" s="2175"/>
      <c r="W81" s="2044"/>
      <c r="X81" s="2004"/>
      <c r="Y81" s="1987"/>
      <c r="Z81" s="1988"/>
      <c r="AA81" s="2175"/>
      <c r="AB81" s="1991"/>
      <c r="AC81" s="2005"/>
      <c r="AD81" s="1987"/>
      <c r="AE81" s="1988"/>
      <c r="AF81" s="2175"/>
      <c r="AG81" s="1991"/>
      <c r="AH81" s="2005"/>
      <c r="AI81" s="1987"/>
      <c r="AJ81" s="1988"/>
      <c r="AK81" s="2175"/>
      <c r="AL81" s="1991"/>
      <c r="AM81" s="2005"/>
      <c r="AN81" s="1987"/>
      <c r="AO81" s="1988"/>
      <c r="AP81" s="2175"/>
      <c r="AQ81" s="1991"/>
      <c r="AR81" s="2119"/>
      <c r="AS81" s="1790"/>
    </row>
    <row r="82" spans="1:51" s="971" customFormat="1" ht="12.75" customHeight="1">
      <c r="B82" s="1984">
        <v>40</v>
      </c>
      <c r="C82" s="1993"/>
      <c r="D82" s="2081" t="s">
        <v>4</v>
      </c>
      <c r="E82" s="2093">
        <v>0.625</v>
      </c>
      <c r="F82" s="2053" t="s">
        <v>1165</v>
      </c>
      <c r="G82" s="2053" t="s">
        <v>4</v>
      </c>
      <c r="H82" s="2000" t="s">
        <v>1016</v>
      </c>
      <c r="I82" s="2084"/>
      <c r="J82" s="2084"/>
      <c r="K82" s="998" t="s">
        <v>1000</v>
      </c>
      <c r="L82" s="998" t="s">
        <v>1000</v>
      </c>
      <c r="M82" s="998" t="s">
        <v>1000</v>
      </c>
      <c r="N82" s="998" t="s">
        <v>1000</v>
      </c>
      <c r="O82" s="998" t="s">
        <v>1000</v>
      </c>
      <c r="P82" s="999" t="s">
        <v>1000</v>
      </c>
      <c r="Q82" s="1541"/>
      <c r="R82" s="1991"/>
      <c r="S82" s="2004"/>
      <c r="T82" s="1985"/>
      <c r="U82" s="1986"/>
      <c r="V82" s="2175"/>
      <c r="W82" s="1991" t="s">
        <v>959</v>
      </c>
      <c r="X82" s="2006" t="s">
        <v>1018</v>
      </c>
      <c r="Y82" s="2042">
        <v>20</v>
      </c>
      <c r="Z82" s="1986"/>
      <c r="AA82" s="2035"/>
      <c r="AB82" s="1991"/>
      <c r="AC82" s="1992"/>
      <c r="AD82" s="1985"/>
      <c r="AE82" s="1986"/>
      <c r="AF82" s="2035"/>
      <c r="AG82" s="2044"/>
      <c r="AH82" s="1992"/>
      <c r="AI82" s="1985"/>
      <c r="AJ82" s="1986"/>
      <c r="AK82" s="2035"/>
      <c r="AL82" s="2006"/>
      <c r="AM82" s="1992"/>
      <c r="AN82" s="1985"/>
      <c r="AO82" s="1986"/>
      <c r="AP82" s="2175"/>
      <c r="AQ82" s="1991"/>
      <c r="AR82" s="2119"/>
      <c r="AS82" s="1538"/>
    </row>
    <row r="83" spans="1:51" ht="30" customHeight="1" thickBot="1">
      <c r="B83" s="1984"/>
      <c r="C83" s="1994"/>
      <c r="D83" s="2082"/>
      <c r="E83" s="2094"/>
      <c r="F83" s="2054"/>
      <c r="G83" s="2054"/>
      <c r="H83" s="2001"/>
      <c r="I83" s="2085"/>
      <c r="J83" s="2085"/>
      <c r="K83" s="994"/>
      <c r="L83" s="994"/>
      <c r="M83" s="994"/>
      <c r="N83" s="994"/>
      <c r="O83" s="994"/>
      <c r="P83" s="995"/>
      <c r="Q83" s="1541"/>
      <c r="R83" s="1991"/>
      <c r="S83" s="2005"/>
      <c r="T83" s="1987"/>
      <c r="U83" s="1988"/>
      <c r="V83" s="2175"/>
      <c r="W83" s="1991"/>
      <c r="X83" s="1986"/>
      <c r="Y83" s="2043"/>
      <c r="Z83" s="1990"/>
      <c r="AA83" s="2035"/>
      <c r="AB83" s="1991"/>
      <c r="AC83" s="1992"/>
      <c r="AD83" s="1987"/>
      <c r="AE83" s="1988"/>
      <c r="AF83" s="2035"/>
      <c r="AG83" s="2014"/>
      <c r="AH83" s="1992"/>
      <c r="AI83" s="1987"/>
      <c r="AJ83" s="1988"/>
      <c r="AK83" s="2035"/>
      <c r="AL83" s="2006"/>
      <c r="AM83" s="1992"/>
      <c r="AN83" s="1987"/>
      <c r="AO83" s="1988"/>
      <c r="AP83" s="2175"/>
      <c r="AQ83" s="1991"/>
      <c r="AR83" s="2119"/>
      <c r="AS83" s="1538"/>
    </row>
    <row r="84" spans="1:51" s="971" customFormat="1" ht="12.75" customHeight="1">
      <c r="B84" s="1984">
        <v>41</v>
      </c>
      <c r="C84" s="1993"/>
      <c r="D84" s="2081" t="s">
        <v>4</v>
      </c>
      <c r="E84" s="2093">
        <v>0.625</v>
      </c>
      <c r="F84" s="2051" t="s">
        <v>977</v>
      </c>
      <c r="G84" s="2051" t="s">
        <v>1172</v>
      </c>
      <c r="H84" s="2000" t="s">
        <v>1016</v>
      </c>
      <c r="I84" s="2002"/>
      <c r="J84" s="2002"/>
      <c r="K84" s="1043" t="s">
        <v>1000</v>
      </c>
      <c r="L84" s="1043" t="s">
        <v>1000</v>
      </c>
      <c r="M84" s="1043" t="s">
        <v>1000</v>
      </c>
      <c r="N84" s="1043" t="s">
        <v>1000</v>
      </c>
      <c r="O84" s="1043" t="s">
        <v>1000</v>
      </c>
      <c r="P84" s="1044" t="s">
        <v>1000</v>
      </c>
      <c r="Q84" s="1541"/>
      <c r="R84" s="1991"/>
      <c r="S84" s="2004"/>
      <c r="T84" s="1985"/>
      <c r="U84" s="1986"/>
      <c r="V84" s="2035"/>
      <c r="W84" s="2014" t="s">
        <v>976</v>
      </c>
      <c r="X84" s="1992" t="s">
        <v>1199</v>
      </c>
      <c r="Y84" s="1985">
        <v>15</v>
      </c>
      <c r="Z84" s="1986"/>
      <c r="AA84" s="2035"/>
      <c r="AB84" s="1988"/>
      <c r="AC84" s="2005"/>
      <c r="AD84" s="1989"/>
      <c r="AE84" s="1990"/>
      <c r="AF84" s="2035"/>
      <c r="AG84" s="2044"/>
      <c r="AH84" s="2004"/>
      <c r="AI84" s="1985"/>
      <c r="AJ84" s="1986"/>
      <c r="AK84" s="2035"/>
      <c r="AL84" s="2006"/>
      <c r="AM84" s="1992"/>
      <c r="AN84" s="1985"/>
      <c r="AO84" s="1986"/>
      <c r="AP84" s="2175"/>
      <c r="AQ84" s="1991"/>
      <c r="AR84" s="2119"/>
      <c r="AS84" s="1541"/>
    </row>
    <row r="85" spans="1:51" ht="30" customHeight="1" thickBot="1">
      <c r="B85" s="1984"/>
      <c r="C85" s="1994"/>
      <c r="D85" s="2082"/>
      <c r="E85" s="2094"/>
      <c r="F85" s="2052"/>
      <c r="G85" s="2052"/>
      <c r="H85" s="2001"/>
      <c r="I85" s="2003"/>
      <c r="J85" s="2003"/>
      <c r="K85" s="1041"/>
      <c r="L85" s="1041"/>
      <c r="M85" s="1041"/>
      <c r="N85" s="1041"/>
      <c r="O85" s="1041"/>
      <c r="P85" s="1042"/>
      <c r="Q85" s="1541"/>
      <c r="R85" s="2015"/>
      <c r="S85" s="2170"/>
      <c r="T85" s="2131"/>
      <c r="U85" s="2133"/>
      <c r="V85" s="2159"/>
      <c r="W85" s="2015"/>
      <c r="X85" s="2016"/>
      <c r="Y85" s="2131"/>
      <c r="Z85" s="2133"/>
      <c r="AA85" s="2159"/>
      <c r="AB85" s="2006"/>
      <c r="AC85" s="2016"/>
      <c r="AD85" s="2131"/>
      <c r="AE85" s="2133"/>
      <c r="AF85" s="2159"/>
      <c r="AG85" s="2148"/>
      <c r="AH85" s="2170"/>
      <c r="AI85" s="2131"/>
      <c r="AJ85" s="2133"/>
      <c r="AK85" s="2159"/>
      <c r="AL85" s="2134"/>
      <c r="AM85" s="2016"/>
      <c r="AN85" s="2131"/>
      <c r="AO85" s="2133"/>
      <c r="AP85" s="2176"/>
      <c r="AQ85" s="2015"/>
      <c r="AR85" s="2135"/>
      <c r="AS85" s="1541"/>
    </row>
    <row r="86" spans="1:51" s="971" customFormat="1" ht="12.75" customHeight="1">
      <c r="A86" s="4"/>
      <c r="B86" s="1984">
        <v>42</v>
      </c>
      <c r="C86" s="1993"/>
      <c r="D86" s="1995" t="s">
        <v>969</v>
      </c>
      <c r="E86" s="1997">
        <v>0.45833333333333331</v>
      </c>
      <c r="F86" s="1998" t="s">
        <v>1373</v>
      </c>
      <c r="G86" s="1998" t="s">
        <v>723</v>
      </c>
      <c r="H86" s="2000" t="s">
        <v>1016</v>
      </c>
      <c r="I86" s="2002"/>
      <c r="J86" s="2002"/>
      <c r="K86" s="1043" t="s">
        <v>1000</v>
      </c>
      <c r="L86" s="1043" t="s">
        <v>1000</v>
      </c>
      <c r="M86" s="1043" t="s">
        <v>1000</v>
      </c>
      <c r="N86" s="1043" t="s">
        <v>1000</v>
      </c>
      <c r="O86" s="1043" t="s">
        <v>1000</v>
      </c>
      <c r="P86" s="1044" t="s">
        <v>1000</v>
      </c>
      <c r="Q86" s="1541"/>
      <c r="R86" s="2143" t="s">
        <v>1371</v>
      </c>
      <c r="S86" s="2007">
        <f>(SUMIFS(T62:T85,S62:S85,"S")+SUMIFS(T62:T85,S62:S85,"E"))/60/24</f>
        <v>0.10069444444444443</v>
      </c>
      <c r="T86" s="2008"/>
      <c r="U86" s="2009"/>
      <c r="V86" s="1543"/>
      <c r="W86" s="2144" t="s">
        <v>1371</v>
      </c>
      <c r="X86" s="2007">
        <f>(SUMIFS(Y62:Y85,X62:X85,"S")+SUMIFS(Y62:Y85,X62:X85,"E"))/60/24</f>
        <v>8.3333333333333329E-2</v>
      </c>
      <c r="Y86" s="2008"/>
      <c r="Z86" s="2009"/>
      <c r="AA86" s="1541"/>
      <c r="AB86" s="2143" t="s">
        <v>1371</v>
      </c>
      <c r="AC86" s="2007">
        <f>(SUMIFS(AD62:AD85,AC62:AC85,"S")+SUMIFS(AD62:AD85,AC62:AC85,"E"))/60/24</f>
        <v>9.0277777777777776E-2</v>
      </c>
      <c r="AD86" s="2013"/>
      <c r="AE86" s="2009"/>
      <c r="AF86" s="1543"/>
      <c r="AG86" s="2143" t="s">
        <v>1371</v>
      </c>
      <c r="AH86" s="2007">
        <f>(SUMIFS(AI62:AI85,AH62:AH85,"S")+SUMIFS(AI62:AI85,AH62:AH85,"E"))/60/24</f>
        <v>9.375E-2</v>
      </c>
      <c r="AI86" s="2013"/>
      <c r="AJ86" s="2009"/>
      <c r="AK86" s="1543"/>
      <c r="AL86" s="2143" t="s">
        <v>1371</v>
      </c>
      <c r="AM86" s="2007">
        <f>(SUMIFS(AN62:AN85,AM62:AM85,"S")+SUMIFS(AN62:AN85,AM62:AM85,"E"))/60/24</f>
        <v>3.8194444444444441E-2</v>
      </c>
      <c r="AN86" s="2013"/>
      <c r="AO86" s="2009"/>
      <c r="AP86" s="1543"/>
      <c r="AQ86" s="1540"/>
      <c r="AR86" s="1540"/>
      <c r="AS86" s="1541"/>
    </row>
    <row r="87" spans="1:51" ht="30" customHeight="1" thickBot="1">
      <c r="B87" s="1984"/>
      <c r="C87" s="1994"/>
      <c r="D87" s="1996"/>
      <c r="E87" s="1996"/>
      <c r="F87" s="1999"/>
      <c r="G87" s="1999"/>
      <c r="H87" s="2001"/>
      <c r="I87" s="2003"/>
      <c r="J87" s="2003"/>
      <c r="K87" s="1041"/>
      <c r="L87" s="1041"/>
      <c r="M87" s="1041"/>
      <c r="N87" s="1041"/>
      <c r="O87" s="1041"/>
      <c r="P87" s="1042"/>
      <c r="Q87" s="1541"/>
      <c r="R87" s="2144"/>
      <c r="S87" s="2010"/>
      <c r="T87" s="2011"/>
      <c r="U87" s="2012"/>
      <c r="V87" s="1543"/>
      <c r="W87" s="2144"/>
      <c r="X87" s="2010"/>
      <c r="Y87" s="2011"/>
      <c r="Z87" s="2012"/>
      <c r="AA87" s="1543"/>
      <c r="AB87" s="2144"/>
      <c r="AC87" s="2010"/>
      <c r="AD87" s="2011"/>
      <c r="AE87" s="2012"/>
      <c r="AF87" s="1543"/>
      <c r="AG87" s="2144"/>
      <c r="AH87" s="2010"/>
      <c r="AI87" s="2011"/>
      <c r="AJ87" s="2012"/>
      <c r="AK87" s="1543"/>
      <c r="AL87" s="2144"/>
      <c r="AM87" s="2010"/>
      <c r="AN87" s="2011"/>
      <c r="AO87" s="2012"/>
      <c r="AP87" s="1543"/>
      <c r="AQ87" s="1540"/>
      <c r="AR87" s="1540"/>
      <c r="AS87" s="1541"/>
    </row>
    <row r="88" spans="1:51" s="971" customFormat="1" ht="12.75" customHeight="1" thickBot="1">
      <c r="B88" s="1984">
        <v>43</v>
      </c>
      <c r="C88" s="2075"/>
      <c r="D88" s="1995" t="s">
        <v>969</v>
      </c>
      <c r="E88" s="2061">
        <v>0.625</v>
      </c>
      <c r="F88" s="2089" t="s">
        <v>1244</v>
      </c>
      <c r="G88" s="2089" t="s">
        <v>723</v>
      </c>
      <c r="H88" s="2000" t="s">
        <v>1012</v>
      </c>
      <c r="I88" s="2086"/>
      <c r="J88" s="2086"/>
      <c r="K88" s="998"/>
      <c r="L88" s="998" t="s">
        <v>1000</v>
      </c>
      <c r="M88" s="998"/>
      <c r="N88" s="998"/>
      <c r="O88" s="998"/>
      <c r="P88" s="999"/>
      <c r="Q88" s="1541"/>
      <c r="R88" s="1539"/>
      <c r="S88" s="1539"/>
      <c r="T88" s="1539"/>
      <c r="U88" s="1539"/>
      <c r="V88" s="1543"/>
      <c r="W88" s="1539"/>
      <c r="X88" s="1539"/>
      <c r="Y88" s="1539"/>
      <c r="Z88" s="1539"/>
      <c r="AA88" s="1543"/>
      <c r="AB88" s="1539"/>
      <c r="AC88" s="1539"/>
      <c r="AD88" s="1539"/>
      <c r="AE88" s="1539"/>
      <c r="AF88" s="1543"/>
      <c r="AG88" s="1539"/>
      <c r="AH88" s="1539"/>
      <c r="AI88" s="1539"/>
      <c r="AJ88" s="1539"/>
      <c r="AK88" s="1543"/>
      <c r="AL88" s="1540"/>
      <c r="AM88" s="1540"/>
      <c r="AN88" s="1540"/>
      <c r="AO88" s="1540"/>
      <c r="AP88" s="1543"/>
      <c r="AQ88" s="1540"/>
      <c r="AR88" s="1540"/>
      <c r="AS88" s="1541"/>
    </row>
    <row r="89" spans="1:51" ht="30" customHeight="1" thickBot="1">
      <c r="B89" s="1984"/>
      <c r="C89" s="2076"/>
      <c r="D89" s="1996"/>
      <c r="E89" s="2062"/>
      <c r="F89" s="2090"/>
      <c r="G89" s="2090"/>
      <c r="H89" s="2001"/>
      <c r="I89" s="2085"/>
      <c r="J89" s="2085"/>
      <c r="K89" s="994"/>
      <c r="L89" s="994"/>
      <c r="M89" s="994"/>
      <c r="N89" s="994"/>
      <c r="O89" s="994"/>
      <c r="P89" s="995"/>
      <c r="Q89" s="1541"/>
      <c r="R89" s="2144" t="s">
        <v>1370</v>
      </c>
      <c r="S89" s="2205">
        <f>(SUM(S86,S56,S26))</f>
        <v>0.23958333333333331</v>
      </c>
      <c r="T89" s="2206"/>
      <c r="U89" s="2207"/>
      <c r="V89" s="1543"/>
      <c r="W89" s="2144" t="s">
        <v>1370</v>
      </c>
      <c r="X89" s="2205">
        <f>(SUM(X86,X56,X26))</f>
        <v>0.20833333333333334</v>
      </c>
      <c r="Y89" s="2206"/>
      <c r="Z89" s="2207"/>
      <c r="AA89" s="1543"/>
      <c r="AB89" s="2144" t="s">
        <v>1370</v>
      </c>
      <c r="AC89" s="2205">
        <f>(SUM(AC86,AC56,AC26))</f>
        <v>0.16666666666666669</v>
      </c>
      <c r="AD89" s="2206"/>
      <c r="AE89" s="2207"/>
      <c r="AF89" s="1543"/>
      <c r="AG89" s="2144" t="s">
        <v>1370</v>
      </c>
      <c r="AH89" s="2205">
        <f>(SUM(AH86,AH56,AH26))</f>
        <v>0.16666666666666666</v>
      </c>
      <c r="AI89" s="2206"/>
      <c r="AJ89" s="2207"/>
      <c r="AK89" s="1543"/>
      <c r="AL89" s="2144" t="s">
        <v>1370</v>
      </c>
      <c r="AM89" s="2205">
        <f>(SUM(AM86,AM56,AM26))</f>
        <v>0.16666666666666669</v>
      </c>
      <c r="AN89" s="2206"/>
      <c r="AO89" s="2207"/>
      <c r="AP89" s="1543"/>
      <c r="AQ89" s="1540"/>
      <c r="AR89" s="1540"/>
      <c r="AS89" s="1541"/>
    </row>
    <row r="90" spans="1:51" s="971" customFormat="1" ht="12.75" customHeight="1" thickBot="1">
      <c r="B90" s="1984">
        <v>44</v>
      </c>
      <c r="C90" s="2075"/>
      <c r="D90" s="1995" t="s">
        <v>1243</v>
      </c>
      <c r="E90" s="2061">
        <v>0.625</v>
      </c>
      <c r="F90" s="2051" t="s">
        <v>1160</v>
      </c>
      <c r="G90" s="2051" t="s">
        <v>723</v>
      </c>
      <c r="H90" s="2000" t="s">
        <v>1012</v>
      </c>
      <c r="I90" s="2002"/>
      <c r="J90" s="2002"/>
      <c r="K90" s="1043"/>
      <c r="L90" s="1043" t="s">
        <v>1000</v>
      </c>
      <c r="M90" s="1043" t="s">
        <v>1000</v>
      </c>
      <c r="N90" s="1043" t="s">
        <v>1000</v>
      </c>
      <c r="O90" s="1043" t="s">
        <v>1000</v>
      </c>
      <c r="P90" s="1044" t="s">
        <v>1000</v>
      </c>
      <c r="Q90" s="1541"/>
      <c r="R90" s="2144"/>
      <c r="S90" s="2208"/>
      <c r="T90" s="2209"/>
      <c r="U90" s="2210"/>
      <c r="V90" s="1543"/>
      <c r="W90" s="2144"/>
      <c r="X90" s="2208"/>
      <c r="Y90" s="2209"/>
      <c r="Z90" s="2210"/>
      <c r="AA90" s="1543"/>
      <c r="AB90" s="2144"/>
      <c r="AC90" s="2208"/>
      <c r="AD90" s="2209"/>
      <c r="AE90" s="2210"/>
      <c r="AF90" s="1543"/>
      <c r="AG90" s="2144"/>
      <c r="AH90" s="2208"/>
      <c r="AI90" s="2209"/>
      <c r="AJ90" s="2210"/>
      <c r="AK90" s="1543"/>
      <c r="AL90" s="2144"/>
      <c r="AM90" s="2208"/>
      <c r="AN90" s="2209"/>
      <c r="AO90" s="2210"/>
      <c r="AP90" s="1543"/>
      <c r="AQ90" s="1543"/>
      <c r="AR90" s="1543"/>
      <c r="AS90" s="1541"/>
    </row>
    <row r="91" spans="1:51" ht="30" customHeight="1" thickBot="1">
      <c r="B91" s="1984"/>
      <c r="C91" s="2076"/>
      <c r="D91" s="1996"/>
      <c r="E91" s="2062"/>
      <c r="F91" s="2052"/>
      <c r="G91" s="2052"/>
      <c r="H91" s="2001"/>
      <c r="I91" s="2003"/>
      <c r="J91" s="2003"/>
      <c r="K91" s="1041"/>
      <c r="L91" s="1041"/>
      <c r="M91" s="1041"/>
      <c r="N91" s="1041"/>
      <c r="O91" s="1041"/>
      <c r="P91" s="1042"/>
      <c r="Q91" s="1541"/>
      <c r="R91" s="1541"/>
      <c r="S91" s="1541"/>
      <c r="T91" s="1542"/>
      <c r="U91" s="1541"/>
      <c r="V91" s="1541"/>
      <c r="W91" s="1541"/>
      <c r="X91" s="1541"/>
      <c r="Y91" s="1542"/>
      <c r="Z91" s="1541"/>
      <c r="AA91" s="1543"/>
      <c r="AB91" s="1541"/>
      <c r="AC91" s="1541"/>
      <c r="AD91" s="1542"/>
      <c r="AE91" s="1541"/>
      <c r="AF91" s="1543"/>
      <c r="AG91" s="1541"/>
      <c r="AH91" s="1541"/>
      <c r="AI91" s="1542"/>
      <c r="AJ91" s="1541"/>
      <c r="AK91" s="1543"/>
      <c r="AL91" s="1543"/>
      <c r="AM91" s="1543"/>
      <c r="AN91" s="1544"/>
      <c r="AO91" s="1543"/>
      <c r="AP91" s="1543"/>
      <c r="AQ91" s="1543"/>
      <c r="AR91" s="1543"/>
      <c r="AS91" s="1541"/>
    </row>
    <row r="92" spans="1:51" ht="22.5" customHeight="1">
      <c r="A92" s="971"/>
      <c r="B92" s="1984">
        <v>45</v>
      </c>
      <c r="C92" s="2075"/>
      <c r="D92" s="1995" t="s">
        <v>969</v>
      </c>
      <c r="E92" s="1997">
        <v>0.66666666666666663</v>
      </c>
      <c r="F92" s="2051" t="s">
        <v>1029</v>
      </c>
      <c r="G92" s="2051" t="s">
        <v>3</v>
      </c>
      <c r="H92" s="2000" t="s">
        <v>1012</v>
      </c>
      <c r="I92" s="2084"/>
      <c r="J92" s="2084"/>
      <c r="K92" s="998" t="s">
        <v>1000</v>
      </c>
      <c r="L92" s="998"/>
      <c r="M92" s="998"/>
      <c r="N92" s="998" t="s">
        <v>1000</v>
      </c>
      <c r="O92" s="998"/>
      <c r="P92" s="999"/>
      <c r="Q92" s="1541"/>
      <c r="R92" s="1541"/>
      <c r="S92" s="1541"/>
      <c r="T92" s="1157"/>
      <c r="U92" s="1541"/>
      <c r="V92" s="1541"/>
      <c r="W92" s="1541"/>
      <c r="X92" s="1541"/>
      <c r="Y92" s="1542"/>
      <c r="Z92" s="1541"/>
      <c r="AA92" s="1543"/>
      <c r="AB92" s="2178" t="s">
        <v>1230</v>
      </c>
      <c r="AC92" s="2180" t="s">
        <v>1231</v>
      </c>
      <c r="AD92" s="2181"/>
      <c r="AE92" s="2182"/>
      <c r="AF92" s="1543"/>
      <c r="AG92" s="1541"/>
      <c r="AH92" s="1541"/>
      <c r="AI92" s="1542"/>
      <c r="AJ92" s="1541"/>
      <c r="AK92" s="1543"/>
      <c r="AL92" s="2186" t="s">
        <v>1232</v>
      </c>
      <c r="AM92" s="2188" t="s">
        <v>1199</v>
      </c>
      <c r="AN92" s="2188"/>
      <c r="AO92" s="2189"/>
      <c r="AP92" s="1543"/>
      <c r="AQ92" s="1535"/>
      <c r="AR92" s="1535"/>
      <c r="AS92" s="1541"/>
      <c r="AT92" s="971"/>
      <c r="AU92" s="971"/>
      <c r="AV92" s="971"/>
      <c r="AW92" s="971"/>
      <c r="AX92" s="971"/>
      <c r="AY92" s="971"/>
    </row>
    <row r="93" spans="1:51" ht="22.5" customHeight="1" thickBot="1">
      <c r="B93" s="1984"/>
      <c r="C93" s="2076"/>
      <c r="D93" s="1996"/>
      <c r="E93" s="1996"/>
      <c r="F93" s="2052"/>
      <c r="G93" s="2052"/>
      <c r="H93" s="2001"/>
      <c r="I93" s="2085"/>
      <c r="J93" s="2085"/>
      <c r="K93" s="994"/>
      <c r="L93" s="994"/>
      <c r="M93" s="994"/>
      <c r="N93" s="994"/>
      <c r="O93" s="994"/>
      <c r="P93" s="995"/>
      <c r="Q93" s="1541"/>
      <c r="R93" s="1541"/>
      <c r="S93" s="1541"/>
      <c r="T93" s="1772"/>
      <c r="U93" s="1541"/>
      <c r="V93" s="1541"/>
      <c r="W93" s="1541"/>
      <c r="X93" s="1541"/>
      <c r="Y93" s="1542"/>
      <c r="Z93" s="1541"/>
      <c r="AA93" s="1543"/>
      <c r="AB93" s="2179"/>
      <c r="AC93" s="2183"/>
      <c r="AD93" s="2184"/>
      <c r="AE93" s="2185"/>
      <c r="AF93" s="1543"/>
      <c r="AG93" s="1541"/>
      <c r="AH93" s="1541"/>
      <c r="AI93" s="1542"/>
      <c r="AJ93" s="1541"/>
      <c r="AK93" s="1543"/>
      <c r="AL93" s="2187"/>
      <c r="AM93" s="2190"/>
      <c r="AN93" s="2190"/>
      <c r="AO93" s="2191"/>
      <c r="AP93" s="1543"/>
      <c r="AS93" s="1541"/>
    </row>
    <row r="94" spans="1:51" ht="22.5" customHeight="1">
      <c r="B94" s="1984">
        <v>46</v>
      </c>
      <c r="C94" s="2075"/>
      <c r="D94" s="1995" t="s">
        <v>969</v>
      </c>
      <c r="E94" s="1997">
        <v>0.66666666666666663</v>
      </c>
      <c r="F94" s="2051" t="s">
        <v>1159</v>
      </c>
      <c r="G94" s="2051" t="s">
        <v>3</v>
      </c>
      <c r="H94" s="2000" t="s">
        <v>1012</v>
      </c>
      <c r="I94" s="2002"/>
      <c r="J94" s="2002"/>
      <c r="K94" s="1043" t="s">
        <v>1000</v>
      </c>
      <c r="L94" s="1043"/>
      <c r="M94" s="1043"/>
      <c r="N94" s="1043"/>
      <c r="O94" s="1043"/>
      <c r="P94" s="1044"/>
      <c r="Q94" s="1541"/>
      <c r="R94" s="1541"/>
      <c r="S94" s="1541"/>
      <c r="T94" s="1552"/>
      <c r="U94" s="1541"/>
      <c r="V94" s="1541"/>
      <c r="W94" s="1541"/>
      <c r="X94" s="1541"/>
      <c r="Y94" s="1542"/>
      <c r="Z94" s="1541"/>
      <c r="AA94" s="1543"/>
      <c r="AB94" s="2179" t="s">
        <v>1233</v>
      </c>
      <c r="AC94" s="2183" t="s">
        <v>1234</v>
      </c>
      <c r="AD94" s="2184"/>
      <c r="AE94" s="2185"/>
      <c r="AF94" s="1543"/>
      <c r="AG94" s="1541"/>
      <c r="AH94" s="1541"/>
      <c r="AI94" s="1542"/>
      <c r="AJ94" s="1541"/>
      <c r="AK94" s="1543"/>
      <c r="AL94" s="2196" t="s">
        <v>1235</v>
      </c>
      <c r="AM94" s="2197" t="s">
        <v>1018</v>
      </c>
      <c r="AN94" s="2197"/>
      <c r="AO94" s="2198"/>
      <c r="AP94" s="1543"/>
      <c r="AQ94" s="1535"/>
      <c r="AR94" s="1535"/>
    </row>
    <row r="95" spans="1:51" ht="22.5" customHeight="1" thickBot="1">
      <c r="B95" s="1984"/>
      <c r="C95" s="2076"/>
      <c r="D95" s="1996"/>
      <c r="E95" s="1996"/>
      <c r="F95" s="2052"/>
      <c r="G95" s="2052"/>
      <c r="H95" s="2001"/>
      <c r="I95" s="2003"/>
      <c r="J95" s="2003"/>
      <c r="K95" s="1041"/>
      <c r="L95" s="1218"/>
      <c r="M95" s="1218"/>
      <c r="N95" s="1218"/>
      <c r="O95" s="1218"/>
      <c r="P95" s="1219"/>
      <c r="Q95" s="1541"/>
      <c r="R95" s="1541"/>
      <c r="S95" s="1541"/>
      <c r="T95" s="1542"/>
      <c r="U95" s="1541"/>
      <c r="V95" s="1541"/>
      <c r="W95" s="1541"/>
      <c r="X95" s="1541"/>
      <c r="Y95" s="1542"/>
      <c r="Z95" s="1541"/>
      <c r="AA95" s="1543"/>
      <c r="AB95" s="2192"/>
      <c r="AC95" s="2193"/>
      <c r="AD95" s="2194"/>
      <c r="AE95" s="2195"/>
      <c r="AF95" s="1543"/>
      <c r="AG95" s="1541"/>
      <c r="AH95" s="1541"/>
      <c r="AI95" s="1542"/>
      <c r="AJ95" s="1541"/>
      <c r="AK95" s="1543"/>
      <c r="AL95" s="2187"/>
      <c r="AM95" s="2199"/>
      <c r="AN95" s="2199"/>
      <c r="AO95" s="2200"/>
      <c r="AP95" s="1543"/>
    </row>
    <row r="96" spans="1:51" ht="22.5" customHeight="1" thickBot="1">
      <c r="R96" s="1541"/>
      <c r="S96" s="1541"/>
      <c r="T96" s="1542"/>
      <c r="U96" s="1541"/>
      <c r="V96" s="1541"/>
      <c r="W96" s="1541"/>
      <c r="X96" s="1541"/>
      <c r="Y96" s="1541"/>
      <c r="Z96" s="1541"/>
      <c r="AA96" s="1543"/>
      <c r="AB96" s="1541"/>
      <c r="AC96" s="1541"/>
      <c r="AD96" s="1541"/>
      <c r="AE96" s="1541"/>
      <c r="AF96" s="1543"/>
      <c r="AG96" s="1541"/>
      <c r="AH96" s="1541"/>
      <c r="AI96" s="1542"/>
      <c r="AJ96" s="1541"/>
      <c r="AK96" s="1543"/>
      <c r="AL96" s="2196" t="s">
        <v>1236</v>
      </c>
      <c r="AM96" s="2197" t="s">
        <v>1219</v>
      </c>
      <c r="AN96" s="2197"/>
      <c r="AO96" s="2198"/>
      <c r="AP96" s="1543"/>
      <c r="AQ96" s="1535"/>
      <c r="AR96" s="1535"/>
    </row>
    <row r="97" spans="2:44" ht="22.5" customHeight="1" thickBot="1">
      <c r="D97" s="997" t="s">
        <v>1028</v>
      </c>
      <c r="E97" s="1220"/>
      <c r="F97" s="981"/>
      <c r="G97" s="981"/>
      <c r="H97" s="981"/>
      <c r="I97" s="981"/>
      <c r="J97" s="992"/>
      <c r="K97" s="2110" t="s">
        <v>1027</v>
      </c>
      <c r="L97" s="2111"/>
      <c r="M97" s="2114"/>
      <c r="N97" s="2115"/>
      <c r="O97" s="991" t="s">
        <v>1004</v>
      </c>
      <c r="P97" s="973"/>
      <c r="R97" s="1541"/>
      <c r="S97" s="1541"/>
      <c r="T97" s="1542"/>
      <c r="U97" s="1541"/>
      <c r="V97" s="1541"/>
      <c r="W97" s="1541"/>
      <c r="X97" s="1541"/>
      <c r="Y97" s="1541"/>
      <c r="Z97" s="1541"/>
      <c r="AA97" s="1543"/>
      <c r="AB97" s="1541"/>
      <c r="AC97" s="1541"/>
      <c r="AD97" s="1541"/>
      <c r="AE97" s="1541"/>
      <c r="AF97" s="1543"/>
      <c r="AG97" s="1541"/>
      <c r="AH97" s="1541"/>
      <c r="AI97" s="1542"/>
      <c r="AJ97" s="1541"/>
      <c r="AK97" s="1543"/>
      <c r="AL97" s="2201"/>
      <c r="AM97" s="2202"/>
      <c r="AN97" s="2202"/>
      <c r="AO97" s="2203"/>
      <c r="AP97" s="1543"/>
    </row>
    <row r="98" spans="2:44" ht="16.5" thickBot="1">
      <c r="D98" s="982"/>
      <c r="E98" s="983"/>
      <c r="F98" s="984"/>
      <c r="G98" s="984"/>
      <c r="H98" s="983"/>
      <c r="I98" s="983"/>
      <c r="J98" s="993"/>
      <c r="K98" s="2112"/>
      <c r="L98" s="2113"/>
      <c r="M98" s="2116"/>
      <c r="N98" s="2117"/>
      <c r="O98" s="991" t="s">
        <v>1005</v>
      </c>
      <c r="P98" s="974"/>
      <c r="R98" s="1541"/>
      <c r="S98" s="1541"/>
      <c r="T98" s="1542"/>
      <c r="U98" s="1541"/>
      <c r="V98" s="1541"/>
      <c r="W98" s="1541"/>
      <c r="X98" s="1541"/>
      <c r="Y98" s="1542"/>
      <c r="Z98" s="1541"/>
      <c r="AA98" s="1543"/>
      <c r="AB98" s="1541"/>
      <c r="AC98" s="1541"/>
      <c r="AD98" s="1541"/>
      <c r="AE98" s="1541"/>
      <c r="AF98" s="1543"/>
      <c r="AG98" s="1541"/>
      <c r="AH98" s="1541"/>
      <c r="AI98" s="1542"/>
      <c r="AJ98" s="1541"/>
      <c r="AK98" s="1543"/>
      <c r="AL98" s="1535"/>
      <c r="AM98" s="1535"/>
      <c r="AN98" s="1544"/>
      <c r="AO98" s="1535"/>
      <c r="AP98" s="1543"/>
      <c r="AQ98" s="1543"/>
    </row>
    <row r="99" spans="2:44" ht="15.75">
      <c r="D99" s="982"/>
      <c r="E99" s="983"/>
      <c r="F99" s="984"/>
      <c r="G99" s="984"/>
      <c r="H99" s="983"/>
      <c r="I99" s="983"/>
      <c r="J99" s="983"/>
      <c r="K99" s="983"/>
      <c r="L99" s="983"/>
      <c r="M99" s="983"/>
      <c r="N99" s="986"/>
      <c r="O99" s="991" t="s">
        <v>1006</v>
      </c>
      <c r="P99" s="975"/>
      <c r="R99" s="1541"/>
      <c r="S99" s="1541"/>
      <c r="T99" s="1542"/>
      <c r="U99" s="1541"/>
      <c r="V99" s="1541"/>
      <c r="W99" s="1541"/>
      <c r="X99" s="1541"/>
      <c r="Y99" s="1542"/>
      <c r="Z99" s="1541"/>
      <c r="AA99" s="1543"/>
      <c r="AB99" s="1541"/>
      <c r="AC99" s="1541"/>
      <c r="AD99" s="1542"/>
      <c r="AE99" s="1541"/>
      <c r="AF99" s="1543"/>
      <c r="AK99" s="1543"/>
      <c r="AP99" s="1543"/>
      <c r="AQ99" s="1541"/>
      <c r="AR99" s="1541"/>
    </row>
    <row r="100" spans="2:44" ht="15.75">
      <c r="D100" s="982"/>
      <c r="E100" s="983"/>
      <c r="F100" s="984"/>
      <c r="G100" s="984"/>
      <c r="H100" s="983"/>
      <c r="I100" s="983"/>
      <c r="J100" s="983"/>
      <c r="K100" s="88"/>
      <c r="L100" s="88"/>
      <c r="M100" s="88"/>
      <c r="N100" s="986"/>
      <c r="O100" s="991" t="s">
        <v>1007</v>
      </c>
      <c r="P100" s="976"/>
      <c r="R100" s="1541"/>
      <c r="S100" s="1541"/>
      <c r="T100" s="1542"/>
      <c r="U100" s="1541"/>
      <c r="V100" s="1541"/>
      <c r="W100" s="1541"/>
      <c r="X100" s="1541"/>
      <c r="Y100" s="1542"/>
      <c r="Z100" s="1541"/>
      <c r="AA100" s="1543"/>
      <c r="AB100" s="1541"/>
      <c r="AC100" s="1541"/>
      <c r="AD100" s="1542"/>
      <c r="AE100" s="1541"/>
      <c r="AF100" s="1543"/>
      <c r="AK100" s="1543"/>
      <c r="AP100" s="1543"/>
    </row>
    <row r="101" spans="2:44" ht="15.75">
      <c r="D101" s="982"/>
      <c r="E101" s="983"/>
      <c r="F101" s="984"/>
      <c r="G101" s="984"/>
      <c r="H101" s="983"/>
      <c r="I101" s="983"/>
      <c r="J101" s="983"/>
      <c r="K101" s="88"/>
      <c r="L101" s="88"/>
      <c r="M101" s="88"/>
      <c r="N101" s="986"/>
      <c r="O101" s="991" t="s">
        <v>1008</v>
      </c>
      <c r="P101" s="978"/>
      <c r="R101" s="1541"/>
      <c r="S101" s="1541"/>
      <c r="T101" s="1542"/>
      <c r="U101" s="1541"/>
      <c r="V101" s="1541"/>
      <c r="W101" s="1541"/>
      <c r="X101" s="1541"/>
      <c r="Y101" s="1542"/>
      <c r="Z101" s="1541"/>
      <c r="AA101" s="1543"/>
      <c r="AB101" s="1541"/>
      <c r="AC101" s="1541"/>
      <c r="AD101" s="1542"/>
      <c r="AE101" s="1541"/>
      <c r="AF101" s="1543"/>
      <c r="AK101" s="1543"/>
      <c r="AP101" s="1543"/>
    </row>
    <row r="102" spans="2:44" ht="15.75">
      <c r="D102" s="982"/>
      <c r="E102" s="983"/>
      <c r="F102" s="984"/>
      <c r="G102" s="984"/>
      <c r="H102" s="983"/>
      <c r="I102" s="983"/>
      <c r="J102" s="983"/>
      <c r="K102" s="983"/>
      <c r="L102" s="983"/>
      <c r="M102" s="983"/>
      <c r="N102" s="986"/>
      <c r="O102" s="991" t="s">
        <v>1009</v>
      </c>
      <c r="P102" s="977"/>
      <c r="R102" s="1541"/>
      <c r="S102" s="1541"/>
      <c r="T102" s="1542"/>
      <c r="U102" s="1541"/>
      <c r="V102" s="1541"/>
      <c r="W102" s="1541"/>
      <c r="X102" s="1541"/>
      <c r="Y102" s="1542"/>
      <c r="Z102" s="1541"/>
      <c r="AA102" s="1543"/>
      <c r="AB102" s="1541"/>
      <c r="AC102" s="1541"/>
      <c r="AD102" s="1542"/>
      <c r="AE102" s="1541"/>
      <c r="AF102" s="1543"/>
      <c r="AK102" s="1543"/>
      <c r="AP102" s="1543"/>
    </row>
    <row r="103" spans="2:44">
      <c r="B103" s="88"/>
      <c r="D103" s="982"/>
      <c r="E103" s="983"/>
      <c r="F103" s="984"/>
      <c r="G103" s="984"/>
      <c r="H103" s="983"/>
      <c r="I103" s="983"/>
      <c r="J103" s="983"/>
      <c r="K103" s="983"/>
      <c r="L103" s="983"/>
      <c r="M103" s="983"/>
      <c r="N103" s="986"/>
      <c r="R103" s="1541"/>
      <c r="S103" s="1541"/>
      <c r="T103" s="1542"/>
      <c r="U103" s="1541"/>
      <c r="V103" s="1541"/>
      <c r="W103" s="1541"/>
      <c r="X103" s="1541"/>
      <c r="Y103" s="1542"/>
      <c r="Z103" s="1541"/>
      <c r="AA103" s="1543"/>
      <c r="AB103" s="1541"/>
      <c r="AC103" s="1541"/>
      <c r="AD103" s="1542"/>
      <c r="AE103" s="1541"/>
      <c r="AF103" s="1543"/>
      <c r="AK103" s="1543"/>
      <c r="AP103" s="1543"/>
    </row>
    <row r="104" spans="2:44" ht="18.75">
      <c r="B104" s="88"/>
      <c r="D104" s="982"/>
      <c r="E104" s="983"/>
      <c r="F104" s="984"/>
      <c r="G104" s="984"/>
      <c r="H104" s="983"/>
      <c r="I104" s="983"/>
      <c r="J104" s="983"/>
      <c r="K104" s="983"/>
      <c r="L104" s="983"/>
      <c r="M104" s="983"/>
      <c r="N104" s="986"/>
      <c r="P104" s="996" t="s">
        <v>1019</v>
      </c>
    </row>
    <row r="105" spans="2:44">
      <c r="B105" s="88"/>
      <c r="C105" s="88"/>
      <c r="D105" s="985"/>
      <c r="E105" s="88"/>
      <c r="F105" s="365"/>
      <c r="G105" s="365"/>
      <c r="H105" s="88"/>
      <c r="I105" s="88"/>
      <c r="J105" s="88"/>
      <c r="K105" s="88"/>
      <c r="L105" s="88"/>
      <c r="M105" s="88"/>
      <c r="N105" s="986"/>
    </row>
    <row r="106" spans="2:44" ht="15.75">
      <c r="B106" s="88"/>
      <c r="C106" s="88"/>
      <c r="D106" s="985"/>
      <c r="E106" s="88"/>
      <c r="F106" s="365"/>
      <c r="G106" s="365"/>
      <c r="H106" s="88"/>
      <c r="I106" s="88"/>
      <c r="J106" s="88"/>
      <c r="K106" s="88"/>
      <c r="L106" s="88"/>
      <c r="M106" s="88"/>
      <c r="N106" s="986"/>
      <c r="O106" s="971"/>
      <c r="P106" s="979"/>
      <c r="AQ106" s="2177"/>
      <c r="AR106" s="2177"/>
    </row>
    <row r="107" spans="2:44">
      <c r="B107" s="88"/>
      <c r="C107" s="88"/>
      <c r="D107" s="985"/>
      <c r="E107" s="88"/>
      <c r="F107" s="365"/>
      <c r="G107" s="365"/>
      <c r="H107" s="88"/>
      <c r="I107" s="88"/>
      <c r="J107" s="88"/>
      <c r="K107" s="88"/>
      <c r="L107" s="88"/>
      <c r="M107" s="88"/>
      <c r="N107" s="986"/>
      <c r="AQ107" s="2177"/>
      <c r="AR107" s="2177"/>
    </row>
    <row r="108" spans="2:44" ht="21">
      <c r="B108" s="88"/>
      <c r="C108" s="88"/>
      <c r="D108" s="985"/>
      <c r="E108" s="88"/>
      <c r="F108" s="365"/>
      <c r="G108" s="365"/>
      <c r="H108" s="88"/>
      <c r="I108" s="88"/>
      <c r="J108" s="88"/>
      <c r="K108" s="88"/>
      <c r="L108" s="88"/>
      <c r="M108" s="88"/>
      <c r="N108" s="986"/>
      <c r="O108" s="971"/>
      <c r="P108" s="2105" t="s">
        <v>1048</v>
      </c>
      <c r="AL108" s="2177"/>
      <c r="AM108" s="2177"/>
      <c r="AN108" s="1553"/>
      <c r="AO108" s="2177"/>
      <c r="AQ108" s="2177"/>
      <c r="AR108" s="2177"/>
    </row>
    <row r="109" spans="2:44" ht="21">
      <c r="B109" s="88"/>
      <c r="C109" s="88"/>
      <c r="D109" s="985"/>
      <c r="E109" s="88"/>
      <c r="F109" s="365"/>
      <c r="G109" s="365"/>
      <c r="H109" s="88"/>
      <c r="I109" s="88"/>
      <c r="J109" s="88"/>
      <c r="K109" s="88"/>
      <c r="L109" s="88"/>
      <c r="M109" s="88"/>
      <c r="N109" s="986"/>
      <c r="P109" s="2105"/>
      <c r="AL109" s="2177"/>
      <c r="AM109" s="2177"/>
      <c r="AN109" s="1553"/>
      <c r="AO109" s="2177"/>
      <c r="AQ109" s="2177"/>
      <c r="AR109" s="2177"/>
    </row>
    <row r="110" spans="2:44" ht="21.75" thickBot="1">
      <c r="B110" s="88"/>
      <c r="C110" s="88"/>
      <c r="D110" s="987"/>
      <c r="E110" s="989"/>
      <c r="F110" s="988"/>
      <c r="G110" s="988"/>
      <c r="H110" s="989"/>
      <c r="I110" s="989"/>
      <c r="J110" s="989"/>
      <c r="K110" s="989"/>
      <c r="L110" s="989"/>
      <c r="M110" s="989"/>
      <c r="N110" s="990"/>
      <c r="P110" s="2105"/>
      <c r="AL110" s="2177"/>
      <c r="AM110" s="2177"/>
      <c r="AN110" s="1553"/>
      <c r="AO110" s="2177"/>
      <c r="AQ110" s="2177"/>
      <c r="AR110" s="2177"/>
    </row>
    <row r="111" spans="2:44" ht="21">
      <c r="B111" s="88"/>
      <c r="C111" s="88"/>
      <c r="D111" s="88"/>
      <c r="E111" s="88"/>
      <c r="F111" s="365"/>
      <c r="G111" s="365"/>
      <c r="H111" s="88"/>
      <c r="I111" s="88"/>
      <c r="J111" s="88"/>
      <c r="K111" s="88"/>
      <c r="L111" s="88"/>
      <c r="M111" s="88"/>
      <c r="N111" s="88"/>
      <c r="AL111" s="2177"/>
      <c r="AM111" s="2177"/>
      <c r="AN111" s="1553"/>
      <c r="AO111" s="2177"/>
      <c r="AQ111" s="2177"/>
      <c r="AR111" s="2177"/>
    </row>
    <row r="112" spans="2:44" ht="21">
      <c r="B112" s="88"/>
      <c r="C112" s="88"/>
      <c r="D112" s="88"/>
      <c r="E112" s="88"/>
      <c r="F112" s="365"/>
      <c r="G112" s="365"/>
      <c r="H112" s="88"/>
      <c r="I112" s="88"/>
      <c r="J112" s="88"/>
      <c r="K112" s="88"/>
      <c r="L112" s="88"/>
      <c r="M112" s="88"/>
      <c r="N112" s="88"/>
      <c r="AL112" s="2177"/>
      <c r="AM112" s="2177"/>
      <c r="AN112" s="1553"/>
      <c r="AO112" s="2177"/>
      <c r="AQ112" s="2177"/>
      <c r="AR112" s="2177"/>
    </row>
    <row r="113" spans="2:44" ht="21">
      <c r="B113" s="88"/>
      <c r="C113" s="88"/>
      <c r="D113" s="88"/>
      <c r="E113" s="88"/>
      <c r="F113" s="365"/>
      <c r="G113" s="365"/>
      <c r="H113" s="88"/>
      <c r="I113" s="88"/>
      <c r="J113" s="88"/>
      <c r="K113" s="88"/>
      <c r="L113" s="88"/>
      <c r="M113" s="88"/>
      <c r="N113" s="88"/>
      <c r="AL113" s="2177"/>
      <c r="AM113" s="2177"/>
      <c r="AN113" s="1553"/>
      <c r="AO113" s="2177"/>
      <c r="AQ113" s="2177"/>
      <c r="AR113" s="2177"/>
    </row>
    <row r="114" spans="2:44" ht="21">
      <c r="B114" s="88"/>
      <c r="C114" s="88"/>
      <c r="D114" s="88"/>
      <c r="E114" s="88"/>
      <c r="F114" s="365"/>
      <c r="G114" s="365"/>
      <c r="H114" s="88"/>
      <c r="I114" s="88"/>
      <c r="J114" s="88"/>
      <c r="K114" s="88"/>
      <c r="L114" s="88"/>
      <c r="M114" s="88"/>
      <c r="N114" s="88"/>
      <c r="AL114" s="2177"/>
      <c r="AM114" s="2177"/>
      <c r="AN114" s="1553"/>
      <c r="AO114" s="2177"/>
      <c r="AQ114" s="2177"/>
      <c r="AR114" s="2177"/>
    </row>
    <row r="115" spans="2:44" ht="21">
      <c r="B115" s="88"/>
      <c r="C115" s="88"/>
      <c r="D115" s="88"/>
      <c r="E115" s="88"/>
      <c r="F115" s="365"/>
      <c r="G115" s="365"/>
      <c r="H115" s="88"/>
      <c r="I115" s="88"/>
      <c r="J115" s="88"/>
      <c r="K115" s="88"/>
      <c r="L115" s="88"/>
      <c r="M115" s="88"/>
      <c r="N115" s="88"/>
      <c r="AL115" s="2177"/>
      <c r="AM115" s="2177"/>
      <c r="AN115" s="1553"/>
      <c r="AO115" s="2177"/>
      <c r="AQ115" s="2177"/>
      <c r="AR115" s="2177"/>
    </row>
    <row r="116" spans="2:44" ht="21">
      <c r="B116" s="88"/>
      <c r="C116" s="88"/>
      <c r="D116" s="88"/>
      <c r="E116" s="88"/>
      <c r="F116" s="365"/>
      <c r="G116" s="365"/>
      <c r="H116" s="88"/>
      <c r="I116" s="88"/>
      <c r="J116" s="88"/>
      <c r="K116" s="88"/>
      <c r="L116" s="88"/>
      <c r="M116" s="88"/>
      <c r="N116" s="88"/>
      <c r="AL116" s="2177"/>
      <c r="AM116" s="2177"/>
      <c r="AN116" s="1553"/>
      <c r="AO116" s="2177"/>
      <c r="AQ116" s="2177"/>
      <c r="AR116" s="2177"/>
    </row>
    <row r="117" spans="2:44" ht="21">
      <c r="B117" s="88"/>
      <c r="C117" s="88"/>
      <c r="D117" s="88"/>
      <c r="E117" s="88"/>
      <c r="F117" s="365"/>
      <c r="G117" s="365"/>
      <c r="H117" s="88"/>
      <c r="I117" s="88"/>
      <c r="J117" s="88"/>
      <c r="K117" s="88"/>
      <c r="L117" s="88"/>
      <c r="M117" s="88"/>
      <c r="N117" s="88"/>
      <c r="AL117" s="2177"/>
      <c r="AM117" s="2177"/>
      <c r="AN117" s="1553"/>
      <c r="AO117" s="2177"/>
      <c r="AQ117" s="2177"/>
      <c r="AR117" s="2177"/>
    </row>
    <row r="118" spans="2:44" ht="21">
      <c r="B118" s="88"/>
      <c r="C118" s="88"/>
      <c r="D118" s="88"/>
      <c r="E118" s="88"/>
      <c r="F118" s="365"/>
      <c r="G118" s="365"/>
      <c r="H118" s="88"/>
      <c r="I118" s="88"/>
      <c r="J118" s="88"/>
      <c r="K118" s="88"/>
      <c r="L118" s="88"/>
      <c r="M118" s="88"/>
      <c r="N118" s="88"/>
      <c r="AL118" s="2177"/>
      <c r="AM118" s="2177"/>
      <c r="AN118" s="1553"/>
      <c r="AO118" s="2177"/>
      <c r="AQ118" s="2177"/>
      <c r="AR118" s="2177"/>
    </row>
    <row r="119" spans="2:44" ht="21">
      <c r="B119" s="88"/>
      <c r="C119" s="88"/>
      <c r="D119" s="88"/>
      <c r="E119" s="88"/>
      <c r="F119" s="365"/>
      <c r="G119" s="365"/>
      <c r="H119" s="88"/>
      <c r="I119" s="88"/>
      <c r="J119" s="88"/>
      <c r="K119" s="88"/>
      <c r="L119" s="88"/>
      <c r="M119" s="88"/>
      <c r="N119" s="88"/>
      <c r="AL119" s="2177"/>
      <c r="AM119" s="2177"/>
      <c r="AN119" s="1553"/>
      <c r="AO119" s="2177"/>
      <c r="AQ119" s="2177"/>
      <c r="AR119" s="2177"/>
    </row>
    <row r="120" spans="2:44" ht="21">
      <c r="B120" s="88"/>
      <c r="C120" s="88"/>
      <c r="D120" s="88"/>
      <c r="E120" s="88"/>
      <c r="F120" s="365"/>
      <c r="G120" s="365"/>
      <c r="H120" s="88"/>
      <c r="I120" s="88"/>
      <c r="J120" s="88"/>
      <c r="K120" s="88"/>
      <c r="L120" s="88"/>
      <c r="M120" s="88"/>
      <c r="N120" s="88"/>
      <c r="AL120" s="2177"/>
      <c r="AM120" s="2177"/>
      <c r="AN120" s="1553"/>
      <c r="AO120" s="2177"/>
      <c r="AQ120" s="2177"/>
      <c r="AR120" s="2177"/>
    </row>
    <row r="121" spans="2:44" ht="21">
      <c r="AL121" s="2177"/>
      <c r="AM121" s="2177"/>
      <c r="AN121" s="1553"/>
      <c r="AO121" s="2177"/>
      <c r="AQ121" s="2177"/>
      <c r="AR121" s="2177"/>
    </row>
    <row r="122" spans="2:44" ht="21">
      <c r="AL122" s="2177"/>
      <c r="AM122" s="2177"/>
      <c r="AN122" s="1553"/>
      <c r="AO122" s="2177"/>
      <c r="AQ122" s="2177"/>
      <c r="AR122" s="2177"/>
    </row>
    <row r="123" spans="2:44" ht="21">
      <c r="AL123" s="2177"/>
      <c r="AM123" s="2177"/>
      <c r="AN123" s="1553"/>
      <c r="AO123" s="2177"/>
      <c r="AQ123" s="2177"/>
      <c r="AR123" s="2177"/>
    </row>
    <row r="124" spans="2:44" ht="21">
      <c r="AL124" s="2177"/>
      <c r="AM124" s="2177"/>
      <c r="AN124" s="1553"/>
      <c r="AO124" s="2177"/>
      <c r="AQ124" s="2177"/>
      <c r="AR124" s="2177"/>
    </row>
    <row r="125" spans="2:44" ht="21">
      <c r="AL125" s="2177"/>
      <c r="AM125" s="2177"/>
      <c r="AN125" s="1553"/>
      <c r="AO125" s="2177"/>
      <c r="AQ125" s="2177"/>
      <c r="AR125" s="2177"/>
    </row>
    <row r="126" spans="2:44" ht="21">
      <c r="AL126" s="2177"/>
      <c r="AM126" s="2177"/>
      <c r="AN126" s="1553"/>
      <c r="AO126" s="2177"/>
      <c r="AQ126" s="2177"/>
      <c r="AR126" s="2177"/>
    </row>
    <row r="127" spans="2:44" ht="21">
      <c r="AL127" s="2177"/>
      <c r="AM127" s="2177"/>
      <c r="AN127" s="1553"/>
      <c r="AO127" s="2177"/>
      <c r="AQ127" s="2177"/>
      <c r="AR127" s="2177"/>
    </row>
    <row r="128" spans="2:44" ht="21">
      <c r="AL128" s="2177"/>
      <c r="AM128" s="2177"/>
      <c r="AN128" s="1553"/>
      <c r="AO128" s="2177"/>
      <c r="AQ128" s="2177"/>
      <c r="AR128" s="2177"/>
    </row>
    <row r="129" spans="38:44" ht="21">
      <c r="AL129" s="2177"/>
      <c r="AM129" s="2177"/>
      <c r="AN129" s="1553"/>
      <c r="AO129" s="2177"/>
      <c r="AQ129" s="2177"/>
      <c r="AR129" s="2177"/>
    </row>
    <row r="130" spans="38:44" ht="21">
      <c r="AL130" s="2177"/>
      <c r="AM130" s="2177"/>
      <c r="AN130" s="1553"/>
      <c r="AO130" s="2177"/>
      <c r="AQ130" s="2177"/>
      <c r="AR130" s="2177"/>
    </row>
    <row r="131" spans="38:44" ht="21">
      <c r="AL131" s="2177"/>
      <c r="AM131" s="2177"/>
      <c r="AN131" s="1553"/>
      <c r="AO131" s="2177"/>
      <c r="AQ131" s="2177"/>
      <c r="AR131" s="2177"/>
    </row>
    <row r="132" spans="38:44" ht="21">
      <c r="AL132" s="2177"/>
      <c r="AM132" s="2177"/>
      <c r="AN132" s="1553"/>
      <c r="AO132" s="2177"/>
      <c r="AQ132" s="2177"/>
      <c r="AR132" s="2177"/>
    </row>
    <row r="133" spans="38:44" ht="21">
      <c r="AL133" s="2177"/>
      <c r="AM133" s="2177"/>
      <c r="AN133" s="1553"/>
      <c r="AO133" s="2177"/>
      <c r="AQ133" s="2177"/>
      <c r="AR133" s="2177"/>
    </row>
    <row r="134" spans="38:44" ht="21">
      <c r="AL134" s="2177"/>
      <c r="AM134" s="2177"/>
      <c r="AN134" s="1553"/>
      <c r="AO134" s="2177"/>
      <c r="AQ134" s="2177"/>
      <c r="AR134" s="2177"/>
    </row>
    <row r="135" spans="38:44" ht="21">
      <c r="AL135" s="2177"/>
      <c r="AM135" s="2177"/>
      <c r="AN135" s="1553"/>
      <c r="AO135" s="2177"/>
      <c r="AQ135" s="2177"/>
      <c r="AR135" s="2177"/>
    </row>
    <row r="136" spans="38:44" ht="21">
      <c r="AL136" s="2177"/>
      <c r="AM136" s="2177"/>
      <c r="AN136" s="1553"/>
      <c r="AO136" s="2177"/>
      <c r="AQ136" s="2177"/>
      <c r="AR136" s="2177"/>
    </row>
    <row r="137" spans="38:44" ht="21">
      <c r="AL137" s="2177"/>
      <c r="AM137" s="2177"/>
      <c r="AN137" s="1553"/>
      <c r="AO137" s="2177"/>
      <c r="AQ137" s="2177"/>
      <c r="AR137" s="2177"/>
    </row>
    <row r="138" spans="38:44" ht="21">
      <c r="AL138" s="2177"/>
      <c r="AM138" s="2177"/>
      <c r="AN138" s="1553"/>
      <c r="AO138" s="2177"/>
      <c r="AQ138" s="2177"/>
      <c r="AR138" s="2177"/>
    </row>
    <row r="139" spans="38:44" ht="21">
      <c r="AL139" s="2177"/>
      <c r="AM139" s="2177"/>
      <c r="AN139" s="1553"/>
      <c r="AO139" s="2177"/>
      <c r="AQ139" s="2177"/>
      <c r="AR139" s="2177"/>
    </row>
    <row r="140" spans="38:44" ht="21">
      <c r="AL140" s="2177"/>
      <c r="AM140" s="2177"/>
      <c r="AN140" s="1553"/>
      <c r="AO140" s="2177"/>
      <c r="AQ140" s="2177"/>
      <c r="AR140" s="2177"/>
    </row>
    <row r="141" spans="38:44" ht="21">
      <c r="AL141" s="2177"/>
      <c r="AM141" s="2177"/>
      <c r="AN141" s="1553"/>
      <c r="AO141" s="2177"/>
      <c r="AQ141" s="2177"/>
      <c r="AR141" s="2177"/>
    </row>
    <row r="142" spans="38:44" ht="21">
      <c r="AL142" s="2204"/>
      <c r="AM142" s="2177"/>
      <c r="AN142" s="1553"/>
      <c r="AO142" s="2177"/>
      <c r="AQ142" s="2204"/>
      <c r="AR142" s="2177"/>
    </row>
    <row r="143" spans="38:44" ht="21">
      <c r="AL143" s="2204"/>
      <c r="AM143" s="2177"/>
      <c r="AN143" s="1553"/>
      <c r="AO143" s="2177"/>
      <c r="AQ143" s="2204"/>
      <c r="AR143" s="2177"/>
    </row>
  </sheetData>
  <sortState xmlns:xlrd2="http://schemas.microsoft.com/office/spreadsheetml/2017/richdata2" ref="AB5:AD97">
    <sortCondition ref="AB5:AB97"/>
  </sortState>
  <mergeCells count="1332">
    <mergeCell ref="R80:R81"/>
    <mergeCell ref="S80:S81"/>
    <mergeCell ref="T80:U81"/>
    <mergeCell ref="V80:V81"/>
    <mergeCell ref="AA80:AA81"/>
    <mergeCell ref="AB80:AB81"/>
    <mergeCell ref="AC80:AC81"/>
    <mergeCell ref="AD80:AE81"/>
    <mergeCell ref="AF80:AF81"/>
    <mergeCell ref="AG80:AG81"/>
    <mergeCell ref="AH80:AH81"/>
    <mergeCell ref="AI80:AJ81"/>
    <mergeCell ref="AK80:AK81"/>
    <mergeCell ref="AL80:AL81"/>
    <mergeCell ref="W68:W69"/>
    <mergeCell ref="X68:X69"/>
    <mergeCell ref="Y68:Z69"/>
    <mergeCell ref="W70:W71"/>
    <mergeCell ref="X70:X71"/>
    <mergeCell ref="Y70:Z71"/>
    <mergeCell ref="W72:W73"/>
    <mergeCell ref="X72:X73"/>
    <mergeCell ref="Y72:Z73"/>
    <mergeCell ref="W74:W75"/>
    <mergeCell ref="X74:X75"/>
    <mergeCell ref="Y74:Z75"/>
    <mergeCell ref="W76:W77"/>
    <mergeCell ref="X76:X77"/>
    <mergeCell ref="Y76:Z77"/>
    <mergeCell ref="W78:W79"/>
    <mergeCell ref="X78:X79"/>
    <mergeCell ref="Y78:Z79"/>
    <mergeCell ref="Z52:Z53"/>
    <mergeCell ref="AB52:AB53"/>
    <mergeCell ref="AN64:AO65"/>
    <mergeCell ref="AN66:AO67"/>
    <mergeCell ref="AF68:AF69"/>
    <mergeCell ref="AF70:AF71"/>
    <mergeCell ref="AF76:AF77"/>
    <mergeCell ref="AF78:AF79"/>
    <mergeCell ref="Y84:Z85"/>
    <mergeCell ref="AA54:AA55"/>
    <mergeCell ref="AA62:AA63"/>
    <mergeCell ref="AA64:AA65"/>
    <mergeCell ref="AA66:AA67"/>
    <mergeCell ref="AA68:AA69"/>
    <mergeCell ref="AA72:AA73"/>
    <mergeCell ref="AA74:AA75"/>
    <mergeCell ref="AA76:AA77"/>
    <mergeCell ref="AA78:AA79"/>
    <mergeCell ref="AA84:AA85"/>
    <mergeCell ref="AA82:AA83"/>
    <mergeCell ref="AG76:AG77"/>
    <mergeCell ref="AH76:AH77"/>
    <mergeCell ref="AI76:AJ77"/>
    <mergeCell ref="AL76:AL77"/>
    <mergeCell ref="AM76:AM77"/>
    <mergeCell ref="AN76:AO77"/>
    <mergeCell ref="AL72:AL73"/>
    <mergeCell ref="AM72:AM73"/>
    <mergeCell ref="AN72:AO73"/>
    <mergeCell ref="AL66:AL67"/>
    <mergeCell ref="AM66:AM67"/>
    <mergeCell ref="AO54:AO55"/>
    <mergeCell ref="AP52:AP53"/>
    <mergeCell ref="AP54:AP55"/>
    <mergeCell ref="AP62:AP63"/>
    <mergeCell ref="AP64:AP65"/>
    <mergeCell ref="AP66:AP67"/>
    <mergeCell ref="AP74:AP75"/>
    <mergeCell ref="AP76:AP77"/>
    <mergeCell ref="V76:V77"/>
    <mergeCell ref="V78:V79"/>
    <mergeCell ref="V84:V85"/>
    <mergeCell ref="W89:W90"/>
    <mergeCell ref="W86:W87"/>
    <mergeCell ref="R86:R87"/>
    <mergeCell ref="R89:R90"/>
    <mergeCell ref="AB86:AB87"/>
    <mergeCell ref="AB89:AB90"/>
    <mergeCell ref="AG86:AG87"/>
    <mergeCell ref="AG89:AG90"/>
    <mergeCell ref="AL86:AL87"/>
    <mergeCell ref="AL89:AL90"/>
    <mergeCell ref="R56:R57"/>
    <mergeCell ref="W56:W57"/>
    <mergeCell ref="AB56:AB57"/>
    <mergeCell ref="AG56:AG57"/>
    <mergeCell ref="AL56:AL57"/>
    <mergeCell ref="R82:R83"/>
    <mergeCell ref="S82:S83"/>
    <mergeCell ref="AF62:AF63"/>
    <mergeCell ref="AF64:AF65"/>
    <mergeCell ref="AF66:AF67"/>
    <mergeCell ref="AF84:AF85"/>
    <mergeCell ref="AK64:AK65"/>
    <mergeCell ref="AP8:AP9"/>
    <mergeCell ref="AP10:AP11"/>
    <mergeCell ref="AP12:AP13"/>
    <mergeCell ref="AP14:AP15"/>
    <mergeCell ref="AP16:AP17"/>
    <mergeCell ref="AP18:AP19"/>
    <mergeCell ref="AP20:AP21"/>
    <mergeCell ref="AP22:AP23"/>
    <mergeCell ref="AP24:AP25"/>
    <mergeCell ref="AP32:AP33"/>
    <mergeCell ref="AP34:AP35"/>
    <mergeCell ref="AP36:AP37"/>
    <mergeCell ref="AP38:AP39"/>
    <mergeCell ref="AP40:AP41"/>
    <mergeCell ref="AP42:AP43"/>
    <mergeCell ref="AP44:AP45"/>
    <mergeCell ref="AP46:AP47"/>
    <mergeCell ref="AK8:AK9"/>
    <mergeCell ref="AK10:AK11"/>
    <mergeCell ref="AK12:AK13"/>
    <mergeCell ref="AK14:AK15"/>
    <mergeCell ref="AK16:AK17"/>
    <mergeCell ref="AK18:AK19"/>
    <mergeCell ref="AK20:AK21"/>
    <mergeCell ref="AK22:AK23"/>
    <mergeCell ref="AK24:AK25"/>
    <mergeCell ref="AK32:AK33"/>
    <mergeCell ref="AK34:AK35"/>
    <mergeCell ref="AK36:AK37"/>
    <mergeCell ref="AK38:AK39"/>
    <mergeCell ref="AK40:AK41"/>
    <mergeCell ref="AK42:AK43"/>
    <mergeCell ref="AK44:AK45"/>
    <mergeCell ref="AK62:AK63"/>
    <mergeCell ref="AA48:AA49"/>
    <mergeCell ref="AA50:AA51"/>
    <mergeCell ref="AA52:AA53"/>
    <mergeCell ref="AF8:AF9"/>
    <mergeCell ref="AF10:AF11"/>
    <mergeCell ref="AF12:AF13"/>
    <mergeCell ref="AF14:AF15"/>
    <mergeCell ref="AF16:AF17"/>
    <mergeCell ref="AF18:AF19"/>
    <mergeCell ref="AF20:AF21"/>
    <mergeCell ref="AF22:AF23"/>
    <mergeCell ref="AF24:AF25"/>
    <mergeCell ref="AF32:AF33"/>
    <mergeCell ref="AF34:AF35"/>
    <mergeCell ref="AF36:AF37"/>
    <mergeCell ref="AF38:AF39"/>
    <mergeCell ref="AF40:AF41"/>
    <mergeCell ref="AF42:AF43"/>
    <mergeCell ref="AF44:AF45"/>
    <mergeCell ref="AF46:AF47"/>
    <mergeCell ref="AA8:AA9"/>
    <mergeCell ref="AC38:AC39"/>
    <mergeCell ref="AD38:AD39"/>
    <mergeCell ref="AE38:AE39"/>
    <mergeCell ref="AC44:AC45"/>
    <mergeCell ref="AC26:AE27"/>
    <mergeCell ref="AB10:AB11"/>
    <mergeCell ref="AC10:AE11"/>
    <mergeCell ref="AD31:AE31"/>
    <mergeCell ref="AC52:AC53"/>
    <mergeCell ref="AD52:AD53"/>
    <mergeCell ref="AE52:AE53"/>
    <mergeCell ref="V10:V11"/>
    <mergeCell ref="V12:V13"/>
    <mergeCell ref="V14:V15"/>
    <mergeCell ref="V16:V17"/>
    <mergeCell ref="V18:V19"/>
    <mergeCell ref="V20:V21"/>
    <mergeCell ref="V22:V23"/>
    <mergeCell ref="V24:V25"/>
    <mergeCell ref="V36:V37"/>
    <mergeCell ref="V38:V39"/>
    <mergeCell ref="V40:V41"/>
    <mergeCell ref="V42:V43"/>
    <mergeCell ref="V44:V45"/>
    <mergeCell ref="V46:V47"/>
    <mergeCell ref="V48:V49"/>
    <mergeCell ref="V50:V51"/>
    <mergeCell ref="AA36:AA37"/>
    <mergeCell ref="AA38:AA39"/>
    <mergeCell ref="AA40:AA41"/>
    <mergeCell ref="AA42:AA43"/>
    <mergeCell ref="AA44:AA45"/>
    <mergeCell ref="AA46:AA47"/>
    <mergeCell ref="W26:W27"/>
    <mergeCell ref="AA10:AA11"/>
    <mergeCell ref="AA12:AA13"/>
    <mergeCell ref="AA14:AA15"/>
    <mergeCell ref="AA16:AA17"/>
    <mergeCell ref="AA18:AA19"/>
    <mergeCell ref="AA20:AA21"/>
    <mergeCell ref="AA22:AA23"/>
    <mergeCell ref="AA24:AA25"/>
    <mergeCell ref="AA32:AA33"/>
    <mergeCell ref="S48:S49"/>
    <mergeCell ref="T48:T49"/>
    <mergeCell ref="U48:U49"/>
    <mergeCell ref="R50:R51"/>
    <mergeCell ref="S50:S51"/>
    <mergeCell ref="T50:T51"/>
    <mergeCell ref="U50:U51"/>
    <mergeCell ref="R44:R45"/>
    <mergeCell ref="S44:S45"/>
    <mergeCell ref="T44:T45"/>
    <mergeCell ref="U44:U45"/>
    <mergeCell ref="X36:X37"/>
    <mergeCell ref="Y36:Y37"/>
    <mergeCell ref="Z36:Z37"/>
    <mergeCell ref="Y32:Y33"/>
    <mergeCell ref="Z32:Z35"/>
    <mergeCell ref="S18:U19"/>
    <mergeCell ref="W18:W19"/>
    <mergeCell ref="X18:Z19"/>
    <mergeCell ref="T31:U31"/>
    <mergeCell ref="Y31:Z31"/>
    <mergeCell ref="Z42:Z43"/>
    <mergeCell ref="S26:U27"/>
    <mergeCell ref="X26:Z27"/>
    <mergeCell ref="V8:V9"/>
    <mergeCell ref="Y52:Y53"/>
    <mergeCell ref="V52:V53"/>
    <mergeCell ref="V54:V55"/>
    <mergeCell ref="V62:V63"/>
    <mergeCell ref="V64:V65"/>
    <mergeCell ref="V66:V67"/>
    <mergeCell ref="W48:W49"/>
    <mergeCell ref="R36:R37"/>
    <mergeCell ref="S36:S37"/>
    <mergeCell ref="T36:T37"/>
    <mergeCell ref="U36:U37"/>
    <mergeCell ref="R38:R39"/>
    <mergeCell ref="S38:S39"/>
    <mergeCell ref="T38:T39"/>
    <mergeCell ref="U38:U39"/>
    <mergeCell ref="R40:R41"/>
    <mergeCell ref="S40:S41"/>
    <mergeCell ref="T40:T41"/>
    <mergeCell ref="U40:U41"/>
    <mergeCell ref="R42:R43"/>
    <mergeCell ref="S42:S43"/>
    <mergeCell ref="T42:T43"/>
    <mergeCell ref="U42:U43"/>
    <mergeCell ref="R46:R47"/>
    <mergeCell ref="S46:S47"/>
    <mergeCell ref="T46:T47"/>
    <mergeCell ref="U46:U47"/>
    <mergeCell ref="R48:R49"/>
    <mergeCell ref="W42:W43"/>
    <mergeCell ref="X42:X43"/>
    <mergeCell ref="Y42:Y43"/>
    <mergeCell ref="AG8:AG9"/>
    <mergeCell ref="AH8:AJ9"/>
    <mergeCell ref="AL8:AL9"/>
    <mergeCell ref="AM8:AO9"/>
    <mergeCell ref="AQ8:AQ9"/>
    <mergeCell ref="AR8:AR9"/>
    <mergeCell ref="AB50:AB51"/>
    <mergeCell ref="AC50:AC51"/>
    <mergeCell ref="AD50:AD51"/>
    <mergeCell ref="AE50:AE51"/>
    <mergeCell ref="AG50:AG51"/>
    <mergeCell ref="AH50:AH51"/>
    <mergeCell ref="AI50:AI51"/>
    <mergeCell ref="AJ50:AJ51"/>
    <mergeCell ref="AL50:AL51"/>
    <mergeCell ref="AC64:AC65"/>
    <mergeCell ref="AD64:AE65"/>
    <mergeCell ref="AG64:AG65"/>
    <mergeCell ref="AH64:AH65"/>
    <mergeCell ref="AI64:AJ65"/>
    <mergeCell ref="AL64:AL65"/>
    <mergeCell ref="AM64:AM65"/>
    <mergeCell ref="AQ64:AQ65"/>
    <mergeCell ref="AR64:AR65"/>
    <mergeCell ref="AQ54:AQ55"/>
    <mergeCell ref="AR54:AR55"/>
    <mergeCell ref="AQ46:AQ47"/>
    <mergeCell ref="AR46:AR47"/>
    <mergeCell ref="AB48:AB49"/>
    <mergeCell ref="AC48:AC49"/>
    <mergeCell ref="AD48:AD49"/>
    <mergeCell ref="AE48:AE49"/>
    <mergeCell ref="AL140:AL141"/>
    <mergeCell ref="AM140:AM141"/>
    <mergeCell ref="AL132:AL133"/>
    <mergeCell ref="AM132:AM133"/>
    <mergeCell ref="AL124:AL125"/>
    <mergeCell ref="AM124:AM125"/>
    <mergeCell ref="AL116:AL117"/>
    <mergeCell ref="AM116:AM117"/>
    <mergeCell ref="AH86:AJ87"/>
    <mergeCell ref="AM86:AO87"/>
    <mergeCell ref="S89:U90"/>
    <mergeCell ref="X89:Z90"/>
    <mergeCell ref="AC89:AE90"/>
    <mergeCell ref="AH89:AJ90"/>
    <mergeCell ref="AM89:AO90"/>
    <mergeCell ref="AG78:AG79"/>
    <mergeCell ref="AH78:AH79"/>
    <mergeCell ref="AL128:AL129"/>
    <mergeCell ref="AM128:AM129"/>
    <mergeCell ref="AO128:AO129"/>
    <mergeCell ref="AO116:AO117"/>
    <mergeCell ref="AI78:AJ79"/>
    <mergeCell ref="AL78:AL79"/>
    <mergeCell ref="AM78:AM79"/>
    <mergeCell ref="AN78:AO79"/>
    <mergeCell ref="AG82:AG83"/>
    <mergeCell ref="AH82:AH83"/>
    <mergeCell ref="AI82:AJ83"/>
    <mergeCell ref="AM80:AM81"/>
    <mergeCell ref="AN80:AO81"/>
    <mergeCell ref="W80:W81"/>
    <mergeCell ref="X80:X81"/>
    <mergeCell ref="R52:R53"/>
    <mergeCell ref="S52:S53"/>
    <mergeCell ref="T52:T53"/>
    <mergeCell ref="U52:U53"/>
    <mergeCell ref="R66:R67"/>
    <mergeCell ref="S66:S67"/>
    <mergeCell ref="AO140:AO141"/>
    <mergeCell ref="AQ140:AQ141"/>
    <mergeCell ref="AR140:AR141"/>
    <mergeCell ref="AL142:AL143"/>
    <mergeCell ref="AM142:AM143"/>
    <mergeCell ref="AO142:AO143"/>
    <mergeCell ref="AQ142:AQ143"/>
    <mergeCell ref="AR142:AR143"/>
    <mergeCell ref="AL136:AL137"/>
    <mergeCell ref="AM136:AM137"/>
    <mergeCell ref="AO136:AO137"/>
    <mergeCell ref="AQ136:AQ137"/>
    <mergeCell ref="AR136:AR137"/>
    <mergeCell ref="AL138:AL139"/>
    <mergeCell ref="AM138:AM139"/>
    <mergeCell ref="AO138:AO139"/>
    <mergeCell ref="AQ138:AQ139"/>
    <mergeCell ref="AR138:AR139"/>
    <mergeCell ref="AO132:AO133"/>
    <mergeCell ref="AQ132:AQ133"/>
    <mergeCell ref="AR132:AR133"/>
    <mergeCell ref="AL134:AL135"/>
    <mergeCell ref="AM134:AM135"/>
    <mergeCell ref="AO134:AO135"/>
    <mergeCell ref="AQ134:AQ135"/>
    <mergeCell ref="AR134:AR135"/>
    <mergeCell ref="AQ128:AQ129"/>
    <mergeCell ref="AR128:AR129"/>
    <mergeCell ref="AL130:AL131"/>
    <mergeCell ref="AM130:AM131"/>
    <mergeCell ref="AO130:AO131"/>
    <mergeCell ref="AQ130:AQ131"/>
    <mergeCell ref="AR130:AR131"/>
    <mergeCell ref="AO124:AO125"/>
    <mergeCell ref="AQ124:AQ125"/>
    <mergeCell ref="AR124:AR125"/>
    <mergeCell ref="AL126:AL127"/>
    <mergeCell ref="AM126:AM127"/>
    <mergeCell ref="AO126:AO127"/>
    <mergeCell ref="AQ126:AQ127"/>
    <mergeCell ref="AR126:AR127"/>
    <mergeCell ref="AL120:AL121"/>
    <mergeCell ref="AM120:AM121"/>
    <mergeCell ref="AO120:AO121"/>
    <mergeCell ref="AQ120:AQ121"/>
    <mergeCell ref="AR120:AR121"/>
    <mergeCell ref="AL122:AL123"/>
    <mergeCell ref="AM122:AM123"/>
    <mergeCell ref="AO122:AO123"/>
    <mergeCell ref="AQ122:AQ123"/>
    <mergeCell ref="AR122:AR123"/>
    <mergeCell ref="AQ116:AQ117"/>
    <mergeCell ref="AR116:AR117"/>
    <mergeCell ref="AL118:AL119"/>
    <mergeCell ref="AM118:AM119"/>
    <mergeCell ref="AO118:AO119"/>
    <mergeCell ref="AQ118:AQ119"/>
    <mergeCell ref="AR118:AR119"/>
    <mergeCell ref="AL112:AL113"/>
    <mergeCell ref="AM112:AM113"/>
    <mergeCell ref="AO112:AO113"/>
    <mergeCell ref="AQ112:AQ113"/>
    <mergeCell ref="AR112:AR113"/>
    <mergeCell ref="AL114:AL115"/>
    <mergeCell ref="AM114:AM115"/>
    <mergeCell ref="AO114:AO115"/>
    <mergeCell ref="AQ114:AQ115"/>
    <mergeCell ref="AR114:AR115"/>
    <mergeCell ref="AL108:AL109"/>
    <mergeCell ref="AM108:AM109"/>
    <mergeCell ref="AO108:AO109"/>
    <mergeCell ref="AQ108:AQ109"/>
    <mergeCell ref="AR108:AR109"/>
    <mergeCell ref="AL110:AL111"/>
    <mergeCell ref="AM110:AM111"/>
    <mergeCell ref="AO110:AO111"/>
    <mergeCell ref="AQ110:AQ111"/>
    <mergeCell ref="AR110:AR111"/>
    <mergeCell ref="AB92:AB93"/>
    <mergeCell ref="AC92:AE93"/>
    <mergeCell ref="AL92:AL93"/>
    <mergeCell ref="AM92:AO93"/>
    <mergeCell ref="AB94:AB95"/>
    <mergeCell ref="AC94:AE95"/>
    <mergeCell ref="AL94:AL95"/>
    <mergeCell ref="AM94:AO95"/>
    <mergeCell ref="AL96:AL97"/>
    <mergeCell ref="AM96:AO97"/>
    <mergeCell ref="AM82:AM83"/>
    <mergeCell ref="AN82:AO83"/>
    <mergeCell ref="AP82:AP83"/>
    <mergeCell ref="AK82:AK83"/>
    <mergeCell ref="AL82:AL83"/>
    <mergeCell ref="AK78:AK79"/>
    <mergeCell ref="AK84:AK85"/>
    <mergeCell ref="T82:U83"/>
    <mergeCell ref="V82:V83"/>
    <mergeCell ref="AB82:AB83"/>
    <mergeCell ref="AC82:AC83"/>
    <mergeCell ref="AD82:AE83"/>
    <mergeCell ref="AF82:AF83"/>
    <mergeCell ref="AP80:AP81"/>
    <mergeCell ref="AQ80:AQ81"/>
    <mergeCell ref="AR80:AR81"/>
    <mergeCell ref="AQ106:AQ107"/>
    <mergeCell ref="AR106:AR107"/>
    <mergeCell ref="Y80:Z81"/>
    <mergeCell ref="AQ76:AQ77"/>
    <mergeCell ref="AR76:AR77"/>
    <mergeCell ref="R84:R85"/>
    <mergeCell ref="S84:S85"/>
    <mergeCell ref="T84:U85"/>
    <mergeCell ref="AB84:AB85"/>
    <mergeCell ref="AC84:AC85"/>
    <mergeCell ref="AD84:AE85"/>
    <mergeCell ref="AG84:AG85"/>
    <mergeCell ref="AH84:AH85"/>
    <mergeCell ref="AI84:AJ85"/>
    <mergeCell ref="AL84:AL85"/>
    <mergeCell ref="AM84:AM85"/>
    <mergeCell ref="AN84:AO85"/>
    <mergeCell ref="AQ84:AQ85"/>
    <mergeCell ref="R78:R79"/>
    <mergeCell ref="S78:S79"/>
    <mergeCell ref="T78:U79"/>
    <mergeCell ref="AB78:AB79"/>
    <mergeCell ref="AC78:AC79"/>
    <mergeCell ref="AD78:AE79"/>
    <mergeCell ref="AR84:AR85"/>
    <mergeCell ref="AK76:AK77"/>
    <mergeCell ref="W82:W83"/>
    <mergeCell ref="X82:X83"/>
    <mergeCell ref="Y82:Z83"/>
    <mergeCell ref="AQ78:AQ79"/>
    <mergeCell ref="AR78:AR79"/>
    <mergeCell ref="AQ82:AQ83"/>
    <mergeCell ref="AR82:AR83"/>
    <mergeCell ref="AP78:AP79"/>
    <mergeCell ref="AP84:AP85"/>
    <mergeCell ref="AQ72:AQ73"/>
    <mergeCell ref="AR72:AR73"/>
    <mergeCell ref="R74:R75"/>
    <mergeCell ref="S74:S75"/>
    <mergeCell ref="T74:U75"/>
    <mergeCell ref="AB74:AB75"/>
    <mergeCell ref="AC74:AC75"/>
    <mergeCell ref="AL74:AL75"/>
    <mergeCell ref="AM74:AM75"/>
    <mergeCell ref="AN74:AO75"/>
    <mergeCell ref="AQ74:AQ75"/>
    <mergeCell ref="R72:R73"/>
    <mergeCell ref="S72:S73"/>
    <mergeCell ref="T72:U73"/>
    <mergeCell ref="AB72:AB73"/>
    <mergeCell ref="AC72:AC73"/>
    <mergeCell ref="AR74:AR75"/>
    <mergeCell ref="V72:V73"/>
    <mergeCell ref="V74:V75"/>
    <mergeCell ref="AG72:AG73"/>
    <mergeCell ref="AH72:AH73"/>
    <mergeCell ref="AI72:AJ73"/>
    <mergeCell ref="AG74:AG75"/>
    <mergeCell ref="AH74:AH75"/>
    <mergeCell ref="AI74:AJ75"/>
    <mergeCell ref="AK72:AK73"/>
    <mergeCell ref="AK74:AK75"/>
    <mergeCell ref="AF72:AF75"/>
    <mergeCell ref="AP72:AP73"/>
    <mergeCell ref="AL70:AL71"/>
    <mergeCell ref="AM70:AM71"/>
    <mergeCell ref="AN70:AO71"/>
    <mergeCell ref="AQ70:AQ71"/>
    <mergeCell ref="AR70:AR71"/>
    <mergeCell ref="R68:R69"/>
    <mergeCell ref="S68:S69"/>
    <mergeCell ref="AB68:AB69"/>
    <mergeCell ref="AC68:AC69"/>
    <mergeCell ref="AD68:AE69"/>
    <mergeCell ref="T68:U69"/>
    <mergeCell ref="T70:U71"/>
    <mergeCell ref="V68:V69"/>
    <mergeCell ref="V70:V71"/>
    <mergeCell ref="AG70:AG71"/>
    <mergeCell ref="AH70:AH71"/>
    <mergeCell ref="AI70:AJ71"/>
    <mergeCell ref="AK68:AK69"/>
    <mergeCell ref="AK70:AK71"/>
    <mergeCell ref="AP68:AP69"/>
    <mergeCell ref="AP70:AP71"/>
    <mergeCell ref="AA70:AA71"/>
    <mergeCell ref="AQ66:AQ67"/>
    <mergeCell ref="AR66:AR67"/>
    <mergeCell ref="R64:R65"/>
    <mergeCell ref="S64:S65"/>
    <mergeCell ref="T64:U65"/>
    <mergeCell ref="W64:W65"/>
    <mergeCell ref="X64:X65"/>
    <mergeCell ref="Y64:Z65"/>
    <mergeCell ref="AB64:AB65"/>
    <mergeCell ref="AG68:AG69"/>
    <mergeCell ref="AH68:AH69"/>
    <mergeCell ref="AI68:AJ69"/>
    <mergeCell ref="AL68:AL69"/>
    <mergeCell ref="AB66:AB67"/>
    <mergeCell ref="AC66:AC67"/>
    <mergeCell ref="AD66:AE67"/>
    <mergeCell ref="AG66:AG67"/>
    <mergeCell ref="AH66:AH67"/>
    <mergeCell ref="AI66:AJ67"/>
    <mergeCell ref="T66:U67"/>
    <mergeCell ref="AM68:AM69"/>
    <mergeCell ref="AN68:AO69"/>
    <mergeCell ref="AQ68:AQ69"/>
    <mergeCell ref="AR68:AR69"/>
    <mergeCell ref="AK66:AK67"/>
    <mergeCell ref="R62:R63"/>
    <mergeCell ref="S62:S63"/>
    <mergeCell ref="T62:U63"/>
    <mergeCell ref="W62:W63"/>
    <mergeCell ref="X62:X63"/>
    <mergeCell ref="Y62:Z63"/>
    <mergeCell ref="AB62:AB63"/>
    <mergeCell ref="AC62:AC63"/>
    <mergeCell ref="AD62:AE63"/>
    <mergeCell ref="AG62:AG63"/>
    <mergeCell ref="AH62:AH63"/>
    <mergeCell ref="AI62:AJ63"/>
    <mergeCell ref="AL62:AL63"/>
    <mergeCell ref="AM62:AM63"/>
    <mergeCell ref="AN62:AO63"/>
    <mergeCell ref="AQ62:AQ63"/>
    <mergeCell ref="AR62:AR63"/>
    <mergeCell ref="S56:U57"/>
    <mergeCell ref="X56:Z57"/>
    <mergeCell ref="AC56:AE57"/>
    <mergeCell ref="AH56:AJ57"/>
    <mergeCell ref="AM56:AO57"/>
    <mergeCell ref="AS54:AS55"/>
    <mergeCell ref="AS56:AS57"/>
    <mergeCell ref="AN52:AN53"/>
    <mergeCell ref="AO52:AO53"/>
    <mergeCell ref="AQ52:AQ53"/>
    <mergeCell ref="AR52:AR53"/>
    <mergeCell ref="R54:R55"/>
    <mergeCell ref="S54:S55"/>
    <mergeCell ref="T54:T55"/>
    <mergeCell ref="U54:U55"/>
    <mergeCell ref="W54:W55"/>
    <mergeCell ref="X54:X55"/>
    <mergeCell ref="Y54:Y55"/>
    <mergeCell ref="Z54:Z55"/>
    <mergeCell ref="AB54:AB55"/>
    <mergeCell ref="AC54:AC55"/>
    <mergeCell ref="AD54:AD55"/>
    <mergeCell ref="AE54:AE55"/>
    <mergeCell ref="AG54:AG55"/>
    <mergeCell ref="AH54:AH55"/>
    <mergeCell ref="AI54:AI55"/>
    <mergeCell ref="AJ54:AJ55"/>
    <mergeCell ref="AL54:AL55"/>
    <mergeCell ref="AM54:AM55"/>
    <mergeCell ref="AN54:AN55"/>
    <mergeCell ref="W52:W53"/>
    <mergeCell ref="X52:X53"/>
    <mergeCell ref="AQ48:AQ49"/>
    <mergeCell ref="AR48:AR49"/>
    <mergeCell ref="AM50:AM51"/>
    <mergeCell ref="AN50:AN51"/>
    <mergeCell ref="AO50:AO51"/>
    <mergeCell ref="AQ50:AQ51"/>
    <mergeCell ref="AR50:AR51"/>
    <mergeCell ref="AB46:AB47"/>
    <mergeCell ref="AC46:AC47"/>
    <mergeCell ref="AD46:AD47"/>
    <mergeCell ref="AE46:AE47"/>
    <mergeCell ref="AG46:AG47"/>
    <mergeCell ref="AH46:AH47"/>
    <mergeCell ref="AI46:AI47"/>
    <mergeCell ref="AJ46:AJ47"/>
    <mergeCell ref="AL46:AL47"/>
    <mergeCell ref="AM46:AM47"/>
    <mergeCell ref="AN46:AN47"/>
    <mergeCell ref="AO46:AO47"/>
    <mergeCell ref="AP48:AP49"/>
    <mergeCell ref="AP50:AP51"/>
    <mergeCell ref="AN48:AN49"/>
    <mergeCell ref="AO48:AO49"/>
    <mergeCell ref="AG52:AG53"/>
    <mergeCell ref="AH52:AH53"/>
    <mergeCell ref="AI52:AI53"/>
    <mergeCell ref="AJ52:AJ53"/>
    <mergeCell ref="AL52:AL53"/>
    <mergeCell ref="AM52:AM53"/>
    <mergeCell ref="AL44:AL45"/>
    <mergeCell ref="AM44:AM45"/>
    <mergeCell ref="AF48:AF49"/>
    <mergeCell ref="AF50:AF51"/>
    <mergeCell ref="AF52:AF53"/>
    <mergeCell ref="AF54:AF55"/>
    <mergeCell ref="AK46:AK47"/>
    <mergeCell ref="AK48:AK49"/>
    <mergeCell ref="AK50:AK51"/>
    <mergeCell ref="AK52:AK53"/>
    <mergeCell ref="AK54:AK55"/>
    <mergeCell ref="AG48:AG49"/>
    <mergeCell ref="AH48:AH49"/>
    <mergeCell ref="AI48:AI49"/>
    <mergeCell ref="AJ48:AJ49"/>
    <mergeCell ref="AL48:AL49"/>
    <mergeCell ref="AM48:AM49"/>
    <mergeCell ref="AQ40:AQ41"/>
    <mergeCell ref="AR40:AR41"/>
    <mergeCell ref="AB42:AB43"/>
    <mergeCell ref="AC42:AC43"/>
    <mergeCell ref="AD42:AD43"/>
    <mergeCell ref="AE42:AE43"/>
    <mergeCell ref="AG44:AG45"/>
    <mergeCell ref="AH44:AH45"/>
    <mergeCell ref="AI44:AI45"/>
    <mergeCell ref="AJ44:AJ45"/>
    <mergeCell ref="AL42:AL43"/>
    <mergeCell ref="AM42:AM43"/>
    <mergeCell ref="AN42:AN43"/>
    <mergeCell ref="AO42:AO43"/>
    <mergeCell ref="AQ42:AQ43"/>
    <mergeCell ref="AR42:AR43"/>
    <mergeCell ref="AB40:AB41"/>
    <mergeCell ref="AC40:AC41"/>
    <mergeCell ref="AD40:AD41"/>
    <mergeCell ref="AE40:AE41"/>
    <mergeCell ref="AG42:AG43"/>
    <mergeCell ref="AN44:AN45"/>
    <mergeCell ref="AO44:AO45"/>
    <mergeCell ref="AQ44:AQ45"/>
    <mergeCell ref="AR44:AR45"/>
    <mergeCell ref="AB44:AB45"/>
    <mergeCell ref="AG40:AG41"/>
    <mergeCell ref="AH40:AH41"/>
    <mergeCell ref="AI40:AI41"/>
    <mergeCell ref="AJ40:AJ41"/>
    <mergeCell ref="AD44:AD45"/>
    <mergeCell ref="AE44:AE45"/>
    <mergeCell ref="AM38:AM39"/>
    <mergeCell ref="AB38:AB39"/>
    <mergeCell ref="AG32:AG33"/>
    <mergeCell ref="AH32:AH33"/>
    <mergeCell ref="AI32:AI33"/>
    <mergeCell ref="AJ32:AJ33"/>
    <mergeCell ref="AG38:AG39"/>
    <mergeCell ref="AH38:AH39"/>
    <mergeCell ref="AI38:AI39"/>
    <mergeCell ref="AJ38:AJ39"/>
    <mergeCell ref="AL36:AL37"/>
    <mergeCell ref="AM36:AM37"/>
    <mergeCell ref="AL32:AL33"/>
    <mergeCell ref="AB32:AB33"/>
    <mergeCell ref="AC32:AC33"/>
    <mergeCell ref="AD32:AD33"/>
    <mergeCell ref="AE32:AE33"/>
    <mergeCell ref="AG34:AG35"/>
    <mergeCell ref="AH34:AH35"/>
    <mergeCell ref="AI34:AI35"/>
    <mergeCell ref="AJ34:AJ35"/>
    <mergeCell ref="AL34:AL35"/>
    <mergeCell ref="AM32:AM33"/>
    <mergeCell ref="AB36:AB37"/>
    <mergeCell ref="AC36:AC37"/>
    <mergeCell ref="AD36:AD37"/>
    <mergeCell ref="AE36:AE37"/>
    <mergeCell ref="AO36:AO37"/>
    <mergeCell ref="AQ36:AQ37"/>
    <mergeCell ref="AR36:AR37"/>
    <mergeCell ref="AH42:AH43"/>
    <mergeCell ref="AI42:AI43"/>
    <mergeCell ref="AJ42:AJ43"/>
    <mergeCell ref="AL40:AL41"/>
    <mergeCell ref="AM40:AM41"/>
    <mergeCell ref="AN40:AN41"/>
    <mergeCell ref="AO40:AO41"/>
    <mergeCell ref="AN38:AN39"/>
    <mergeCell ref="AO38:AO39"/>
    <mergeCell ref="AQ38:AQ39"/>
    <mergeCell ref="AR38:AR39"/>
    <mergeCell ref="W34:W35"/>
    <mergeCell ref="X34:X35"/>
    <mergeCell ref="Y34:Y35"/>
    <mergeCell ref="AB34:AB35"/>
    <mergeCell ref="AC34:AC35"/>
    <mergeCell ref="AD34:AD35"/>
    <mergeCell ref="AE34:AE35"/>
    <mergeCell ref="AG36:AG37"/>
    <mergeCell ref="AH36:AH37"/>
    <mergeCell ref="AI36:AI37"/>
    <mergeCell ref="AJ36:AJ37"/>
    <mergeCell ref="AM34:AM35"/>
    <mergeCell ref="AN34:AN35"/>
    <mergeCell ref="AO34:AO35"/>
    <mergeCell ref="AQ34:AQ35"/>
    <mergeCell ref="AR34:AR35"/>
    <mergeCell ref="W36:W37"/>
    <mergeCell ref="AL38:AL39"/>
    <mergeCell ref="AQ32:AQ33"/>
    <mergeCell ref="AR32:AR33"/>
    <mergeCell ref="R32:R33"/>
    <mergeCell ref="S32:S33"/>
    <mergeCell ref="T32:T33"/>
    <mergeCell ref="U32:U33"/>
    <mergeCell ref="V32:V33"/>
    <mergeCell ref="V34:V35"/>
    <mergeCell ref="AA34:AA35"/>
    <mergeCell ref="AQ22:AQ23"/>
    <mergeCell ref="AR22:AR23"/>
    <mergeCell ref="R24:R25"/>
    <mergeCell ref="S24:U25"/>
    <mergeCell ref="W24:W25"/>
    <mergeCell ref="X24:Z25"/>
    <mergeCell ref="AB24:AB25"/>
    <mergeCell ref="AC24:AE25"/>
    <mergeCell ref="AG24:AG25"/>
    <mergeCell ref="AH24:AJ25"/>
    <mergeCell ref="AL24:AL25"/>
    <mergeCell ref="AM24:AO25"/>
    <mergeCell ref="AQ24:AQ25"/>
    <mergeCell ref="AR24:AR25"/>
    <mergeCell ref="R22:R23"/>
    <mergeCell ref="S22:U23"/>
    <mergeCell ref="W22:W23"/>
    <mergeCell ref="X22:Z23"/>
    <mergeCell ref="AB22:AB23"/>
    <mergeCell ref="AC22:AE23"/>
    <mergeCell ref="AG22:AG23"/>
    <mergeCell ref="R26:R27"/>
    <mergeCell ref="AB26:AB27"/>
    <mergeCell ref="AH26:AJ27"/>
    <mergeCell ref="AM26:AO27"/>
    <mergeCell ref="T29:T30"/>
    <mergeCell ref="Y29:Y30"/>
    <mergeCell ref="AD29:AD30"/>
    <mergeCell ref="AI29:AI30"/>
    <mergeCell ref="AN29:AN30"/>
    <mergeCell ref="AM22:AO23"/>
    <mergeCell ref="X14:Z15"/>
    <mergeCell ref="AB14:AB15"/>
    <mergeCell ref="AC14:AE15"/>
    <mergeCell ref="AG14:AG15"/>
    <mergeCell ref="AH14:AJ15"/>
    <mergeCell ref="AL14:AL15"/>
    <mergeCell ref="AM14:AO15"/>
    <mergeCell ref="AG26:AG27"/>
    <mergeCell ref="AL26:AL27"/>
    <mergeCell ref="R12:R13"/>
    <mergeCell ref="S12:U13"/>
    <mergeCell ref="W12:W13"/>
    <mergeCell ref="X12:Z13"/>
    <mergeCell ref="AB12:AB13"/>
    <mergeCell ref="AH22:AJ23"/>
    <mergeCell ref="AL22:AL23"/>
    <mergeCell ref="AM18:AO19"/>
    <mergeCell ref="AQ18:AQ19"/>
    <mergeCell ref="AR18:AR19"/>
    <mergeCell ref="R20:R21"/>
    <mergeCell ref="S20:U21"/>
    <mergeCell ref="W20:W21"/>
    <mergeCell ref="X20:Z21"/>
    <mergeCell ref="AB20:AB21"/>
    <mergeCell ref="AC20:AE21"/>
    <mergeCell ref="AG20:AG21"/>
    <mergeCell ref="AH20:AJ21"/>
    <mergeCell ref="AL20:AL21"/>
    <mergeCell ref="AM20:AO21"/>
    <mergeCell ref="AQ20:AQ21"/>
    <mergeCell ref="AR20:AR21"/>
    <mergeCell ref="R18:R19"/>
    <mergeCell ref="AB18:AB19"/>
    <mergeCell ref="AC18:AE19"/>
    <mergeCell ref="AG18:AG19"/>
    <mergeCell ref="AH18:AJ19"/>
    <mergeCell ref="AL18:AL19"/>
    <mergeCell ref="AG10:AG11"/>
    <mergeCell ref="AH10:AJ11"/>
    <mergeCell ref="AL10:AL11"/>
    <mergeCell ref="AM10:AO11"/>
    <mergeCell ref="AQ10:AQ11"/>
    <mergeCell ref="AR10:AR11"/>
    <mergeCell ref="R8:R9"/>
    <mergeCell ref="S8:U9"/>
    <mergeCell ref="W8:W9"/>
    <mergeCell ref="X8:Z9"/>
    <mergeCell ref="AB8:AB9"/>
    <mergeCell ref="AC8:AE9"/>
    <mergeCell ref="R16:R17"/>
    <mergeCell ref="S16:U17"/>
    <mergeCell ref="W16:W17"/>
    <mergeCell ref="X16:Z17"/>
    <mergeCell ref="AB16:AB17"/>
    <mergeCell ref="AC16:AE17"/>
    <mergeCell ref="AG16:AG17"/>
    <mergeCell ref="AH16:AJ17"/>
    <mergeCell ref="AL16:AL17"/>
    <mergeCell ref="AM16:AO17"/>
    <mergeCell ref="AQ16:AQ17"/>
    <mergeCell ref="AR16:AR17"/>
    <mergeCell ref="AM12:AO13"/>
    <mergeCell ref="AQ12:AQ13"/>
    <mergeCell ref="AR12:AR13"/>
    <mergeCell ref="R14:R15"/>
    <mergeCell ref="S14:U15"/>
    <mergeCell ref="W14:W15"/>
    <mergeCell ref="AQ14:AQ15"/>
    <mergeCell ref="AR14:AR15"/>
    <mergeCell ref="P108:P110"/>
    <mergeCell ref="F2:M2"/>
    <mergeCell ref="N2:P2"/>
    <mergeCell ref="K97:L98"/>
    <mergeCell ref="M97:N98"/>
    <mergeCell ref="H4:H5"/>
    <mergeCell ref="H28:H29"/>
    <mergeCell ref="H46:H47"/>
    <mergeCell ref="H30:H31"/>
    <mergeCell ref="H24:H25"/>
    <mergeCell ref="H52:H53"/>
    <mergeCell ref="H68:H69"/>
    <mergeCell ref="F4:F5"/>
    <mergeCell ref="F62:F63"/>
    <mergeCell ref="F64:F65"/>
    <mergeCell ref="F82:F83"/>
    <mergeCell ref="F50:F51"/>
    <mergeCell ref="F70:F71"/>
    <mergeCell ref="F8:F9"/>
    <mergeCell ref="F16:F17"/>
    <mergeCell ref="F20:F21"/>
    <mergeCell ref="F74:F75"/>
    <mergeCell ref="F46:F47"/>
    <mergeCell ref="F30:F31"/>
    <mergeCell ref="F34:F35"/>
    <mergeCell ref="J44:J45"/>
    <mergeCell ref="J46:J47"/>
    <mergeCell ref="H42:H43"/>
    <mergeCell ref="I38:I39"/>
    <mergeCell ref="H14:H15"/>
    <mergeCell ref="I14:I15"/>
    <mergeCell ref="J14:J15"/>
    <mergeCell ref="B4:B5"/>
    <mergeCell ref="B10:B11"/>
    <mergeCell ref="B18:B19"/>
    <mergeCell ref="B30:B31"/>
    <mergeCell ref="B6:B7"/>
    <mergeCell ref="B22:B23"/>
    <mergeCell ref="C4:C5"/>
    <mergeCell ref="B24:B25"/>
    <mergeCell ref="C6:C7"/>
    <mergeCell ref="C10:C11"/>
    <mergeCell ref="D6:D7"/>
    <mergeCell ref="F44:F45"/>
    <mergeCell ref="F32:F33"/>
    <mergeCell ref="F40:F41"/>
    <mergeCell ref="F56:F57"/>
    <mergeCell ref="F36:F37"/>
    <mergeCell ref="F18:F19"/>
    <mergeCell ref="F10:F11"/>
    <mergeCell ref="E8:E9"/>
    <mergeCell ref="E12:E13"/>
    <mergeCell ref="E30:E31"/>
    <mergeCell ref="E32:E33"/>
    <mergeCell ref="E36:E37"/>
    <mergeCell ref="E40:E41"/>
    <mergeCell ref="E42:E43"/>
    <mergeCell ref="E18:E19"/>
    <mergeCell ref="E24:E25"/>
    <mergeCell ref="E26:E27"/>
    <mergeCell ref="E28:E29"/>
    <mergeCell ref="E10:E11"/>
    <mergeCell ref="D34:D35"/>
    <mergeCell ref="C8:C9"/>
    <mergeCell ref="C30:C31"/>
    <mergeCell ref="C18:C19"/>
    <mergeCell ref="C26:C27"/>
    <mergeCell ref="B8:B9"/>
    <mergeCell ref="B16:B17"/>
    <mergeCell ref="C14:C15"/>
    <mergeCell ref="B46:B47"/>
    <mergeCell ref="C34:C35"/>
    <mergeCell ref="B56:B57"/>
    <mergeCell ref="D30:D31"/>
    <mergeCell ref="D36:D37"/>
    <mergeCell ref="D22:D23"/>
    <mergeCell ref="D10:D11"/>
    <mergeCell ref="D26:D27"/>
    <mergeCell ref="D24:D25"/>
    <mergeCell ref="D42:D43"/>
    <mergeCell ref="B50:B51"/>
    <mergeCell ref="C48:C49"/>
    <mergeCell ref="D48:D49"/>
    <mergeCell ref="D32:D33"/>
    <mergeCell ref="D20:D21"/>
    <mergeCell ref="D16:D17"/>
    <mergeCell ref="B14:B15"/>
    <mergeCell ref="C12:C13"/>
    <mergeCell ref="D18:D19"/>
    <mergeCell ref="B28:B29"/>
    <mergeCell ref="B60:B61"/>
    <mergeCell ref="B12:B13"/>
    <mergeCell ref="B32:B33"/>
    <mergeCell ref="B40:B41"/>
    <mergeCell ref="B52:B53"/>
    <mergeCell ref="B26:B27"/>
    <mergeCell ref="C68:C69"/>
    <mergeCell ref="C52:C53"/>
    <mergeCell ref="C28:C29"/>
    <mergeCell ref="C24:C25"/>
    <mergeCell ref="C82:C83"/>
    <mergeCell ref="C76:C77"/>
    <mergeCell ref="B72:B73"/>
    <mergeCell ref="C72:C73"/>
    <mergeCell ref="B66:B67"/>
    <mergeCell ref="C66:C67"/>
    <mergeCell ref="C56:C57"/>
    <mergeCell ref="C40:C41"/>
    <mergeCell ref="C42:C43"/>
    <mergeCell ref="B82:B83"/>
    <mergeCell ref="B70:B71"/>
    <mergeCell ref="B68:B69"/>
    <mergeCell ref="C74:C75"/>
    <mergeCell ref="C60:C61"/>
    <mergeCell ref="C32:C33"/>
    <mergeCell ref="C44:C45"/>
    <mergeCell ref="C46:C47"/>
    <mergeCell ref="C62:C63"/>
    <mergeCell ref="C16:C17"/>
    <mergeCell ref="C20:C21"/>
    <mergeCell ref="C22:C23"/>
    <mergeCell ref="C36:C37"/>
    <mergeCell ref="B92:B93"/>
    <mergeCell ref="B94:B95"/>
    <mergeCell ref="H16:H17"/>
    <mergeCell ref="H20:H21"/>
    <mergeCell ref="H22:H23"/>
    <mergeCell ref="H44:H45"/>
    <mergeCell ref="H36:H37"/>
    <mergeCell ref="H32:H33"/>
    <mergeCell ref="B20:B21"/>
    <mergeCell ref="B36:B37"/>
    <mergeCell ref="B62:B63"/>
    <mergeCell ref="B48:B49"/>
    <mergeCell ref="B74:B75"/>
    <mergeCell ref="B64:B65"/>
    <mergeCell ref="B42:B43"/>
    <mergeCell ref="B34:B35"/>
    <mergeCell ref="B44:B45"/>
    <mergeCell ref="H18:H19"/>
    <mergeCell ref="F52:F53"/>
    <mergeCell ref="E50:E51"/>
    <mergeCell ref="E52:E53"/>
    <mergeCell ref="E74:E75"/>
    <mergeCell ref="F76:F77"/>
    <mergeCell ref="F60:F61"/>
    <mergeCell ref="E66:E67"/>
    <mergeCell ref="F66:F67"/>
    <mergeCell ref="F68:F69"/>
    <mergeCell ref="E54:E55"/>
    <mergeCell ref="E58:E59"/>
    <mergeCell ref="D92:D93"/>
    <mergeCell ref="D94:D95"/>
    <mergeCell ref="D68:D69"/>
    <mergeCell ref="H6:H7"/>
    <mergeCell ref="H56:H57"/>
    <mergeCell ref="H40:H41"/>
    <mergeCell ref="H48:H49"/>
    <mergeCell ref="I42:I43"/>
    <mergeCell ref="I32:I33"/>
    <mergeCell ref="I44:I45"/>
    <mergeCell ref="I46:I47"/>
    <mergeCell ref="I56:I57"/>
    <mergeCell ref="H8:H9"/>
    <mergeCell ref="H34:H35"/>
    <mergeCell ref="G50:G51"/>
    <mergeCell ref="G62:G63"/>
    <mergeCell ref="G30:G31"/>
    <mergeCell ref="G32:G33"/>
    <mergeCell ref="G36:G37"/>
    <mergeCell ref="G34:G35"/>
    <mergeCell ref="H50:H51"/>
    <mergeCell ref="G52:G53"/>
    <mergeCell ref="G54:G55"/>
    <mergeCell ref="G58:G59"/>
    <mergeCell ref="H10:H11"/>
    <mergeCell ref="I26:I27"/>
    <mergeCell ref="I40:I41"/>
    <mergeCell ref="H58:H59"/>
    <mergeCell ref="H60:H61"/>
    <mergeCell ref="H62:H63"/>
    <mergeCell ref="G60:G61"/>
    <mergeCell ref="J48:J49"/>
    <mergeCell ref="H26:H27"/>
    <mergeCell ref="D44:D45"/>
    <mergeCell ref="D46:D47"/>
    <mergeCell ref="D56:D57"/>
    <mergeCell ref="D40:D41"/>
    <mergeCell ref="D8:D9"/>
    <mergeCell ref="J38:J39"/>
    <mergeCell ref="F12:F13"/>
    <mergeCell ref="D12:D13"/>
    <mergeCell ref="H12:H13"/>
    <mergeCell ref="H38:H39"/>
    <mergeCell ref="F42:F43"/>
    <mergeCell ref="J42:J43"/>
    <mergeCell ref="I48:I49"/>
    <mergeCell ref="I30:I31"/>
    <mergeCell ref="G40:G41"/>
    <mergeCell ref="G42:G43"/>
    <mergeCell ref="G18:G19"/>
    <mergeCell ref="G44:G45"/>
    <mergeCell ref="G46:G47"/>
    <mergeCell ref="G48:G49"/>
    <mergeCell ref="G38:G39"/>
    <mergeCell ref="G10:G11"/>
    <mergeCell ref="F38:F39"/>
    <mergeCell ref="D52:D53"/>
    <mergeCell ref="D28:D29"/>
    <mergeCell ref="I24:I25"/>
    <mergeCell ref="J56:J57"/>
    <mergeCell ref="J40:J41"/>
    <mergeCell ref="F48:F49"/>
    <mergeCell ref="F26:F27"/>
    <mergeCell ref="I4:I5"/>
    <mergeCell ref="I8:I9"/>
    <mergeCell ref="I16:I17"/>
    <mergeCell ref="I20:I21"/>
    <mergeCell ref="I22:I23"/>
    <mergeCell ref="I36:I37"/>
    <mergeCell ref="I10:I11"/>
    <mergeCell ref="I18:I19"/>
    <mergeCell ref="J4:J5"/>
    <mergeCell ref="J8:J9"/>
    <mergeCell ref="J16:J17"/>
    <mergeCell ref="J20:J21"/>
    <mergeCell ref="J22:J23"/>
    <mergeCell ref="J36:J37"/>
    <mergeCell ref="J6:J7"/>
    <mergeCell ref="J28:J29"/>
    <mergeCell ref="J24:J25"/>
    <mergeCell ref="I28:I29"/>
    <mergeCell ref="J18:J19"/>
    <mergeCell ref="J26:J27"/>
    <mergeCell ref="J32:J33"/>
    <mergeCell ref="I6:I7"/>
    <mergeCell ref="I12:I13"/>
    <mergeCell ref="J12:J13"/>
    <mergeCell ref="J30:J31"/>
    <mergeCell ref="J10:J11"/>
    <mergeCell ref="J94:J95"/>
    <mergeCell ref="C94:C95"/>
    <mergeCell ref="H54:H55"/>
    <mergeCell ref="D54:D55"/>
    <mergeCell ref="C54:C55"/>
    <mergeCell ref="J62:J63"/>
    <mergeCell ref="J64:J65"/>
    <mergeCell ref="C64:C65"/>
    <mergeCell ref="C84:C85"/>
    <mergeCell ref="I70:I71"/>
    <mergeCell ref="I92:I93"/>
    <mergeCell ref="I94:I95"/>
    <mergeCell ref="I54:I55"/>
    <mergeCell ref="C92:C93"/>
    <mergeCell ref="J54:J55"/>
    <mergeCell ref="J70:J71"/>
    <mergeCell ref="J60:J61"/>
    <mergeCell ref="C70:C71"/>
    <mergeCell ref="C88:C89"/>
    <mergeCell ref="H94:H95"/>
    <mergeCell ref="H92:H93"/>
    <mergeCell ref="C58:C59"/>
    <mergeCell ref="F58:F59"/>
    <mergeCell ref="D58:D59"/>
    <mergeCell ref="D60:D61"/>
    <mergeCell ref="D62:D63"/>
    <mergeCell ref="D76:D77"/>
    <mergeCell ref="D72:D73"/>
    <mergeCell ref="D66:D67"/>
    <mergeCell ref="F54:F55"/>
    <mergeCell ref="E62:E63"/>
    <mergeCell ref="E64:E65"/>
    <mergeCell ref="E92:E93"/>
    <mergeCell ref="E94:E95"/>
    <mergeCell ref="E90:E91"/>
    <mergeCell ref="E78:E79"/>
    <mergeCell ref="E80:E81"/>
    <mergeCell ref="F94:F95"/>
    <mergeCell ref="F92:F93"/>
    <mergeCell ref="G94:G95"/>
    <mergeCell ref="G82:G83"/>
    <mergeCell ref="G84:G85"/>
    <mergeCell ref="G72:G73"/>
    <mergeCell ref="G76:G77"/>
    <mergeCell ref="F84:F85"/>
    <mergeCell ref="G66:G67"/>
    <mergeCell ref="E68:E69"/>
    <mergeCell ref="E76:E77"/>
    <mergeCell ref="H90:H91"/>
    <mergeCell ref="G90:G91"/>
    <mergeCell ref="G92:G93"/>
    <mergeCell ref="G68:G69"/>
    <mergeCell ref="G78:G79"/>
    <mergeCell ref="G80:G81"/>
    <mergeCell ref="G70:G71"/>
    <mergeCell ref="D64:D65"/>
    <mergeCell ref="D88:D89"/>
    <mergeCell ref="D70:D71"/>
    <mergeCell ref="H88:H89"/>
    <mergeCell ref="H78:H79"/>
    <mergeCell ref="I78:I79"/>
    <mergeCell ref="E72:E73"/>
    <mergeCell ref="E60:E61"/>
    <mergeCell ref="F78:F79"/>
    <mergeCell ref="F80:F81"/>
    <mergeCell ref="F88:F89"/>
    <mergeCell ref="G74:G75"/>
    <mergeCell ref="G88:G89"/>
    <mergeCell ref="E88:E89"/>
    <mergeCell ref="E70:E71"/>
    <mergeCell ref="D74:D75"/>
    <mergeCell ref="E82:E83"/>
    <mergeCell ref="E84:E85"/>
    <mergeCell ref="H66:H67"/>
    <mergeCell ref="H70:H71"/>
    <mergeCell ref="H82:H83"/>
    <mergeCell ref="H84:H85"/>
    <mergeCell ref="H76:H77"/>
    <mergeCell ref="H72:H73"/>
    <mergeCell ref="H64:H65"/>
    <mergeCell ref="G64:G65"/>
    <mergeCell ref="J92:J93"/>
    <mergeCell ref="I52:I53"/>
    <mergeCell ref="I50:I51"/>
    <mergeCell ref="J52:J53"/>
    <mergeCell ref="I58:I59"/>
    <mergeCell ref="J58:J59"/>
    <mergeCell ref="I76:I77"/>
    <mergeCell ref="I74:I75"/>
    <mergeCell ref="I62:I63"/>
    <mergeCell ref="I64:I65"/>
    <mergeCell ref="I72:I73"/>
    <mergeCell ref="I80:I81"/>
    <mergeCell ref="I90:I91"/>
    <mergeCell ref="J90:J91"/>
    <mergeCell ref="J78:J79"/>
    <mergeCell ref="J80:J81"/>
    <mergeCell ref="J50:J51"/>
    <mergeCell ref="J72:J73"/>
    <mergeCell ref="J88:J89"/>
    <mergeCell ref="I88:I89"/>
    <mergeCell ref="I82:I83"/>
    <mergeCell ref="I84:I85"/>
    <mergeCell ref="J68:J69"/>
    <mergeCell ref="I60:I61"/>
    <mergeCell ref="J74:J75"/>
    <mergeCell ref="J82:J83"/>
    <mergeCell ref="J84:J85"/>
    <mergeCell ref="I68:I69"/>
    <mergeCell ref="I66:I67"/>
    <mergeCell ref="J66:J67"/>
    <mergeCell ref="J76:J77"/>
    <mergeCell ref="D2:E2"/>
    <mergeCell ref="D38:D39"/>
    <mergeCell ref="E38:E39"/>
    <mergeCell ref="E6:E7"/>
    <mergeCell ref="E56:E57"/>
    <mergeCell ref="B90:B91"/>
    <mergeCell ref="C90:C91"/>
    <mergeCell ref="D90:D91"/>
    <mergeCell ref="F90:F91"/>
    <mergeCell ref="B78:B79"/>
    <mergeCell ref="C78:C79"/>
    <mergeCell ref="D78:D79"/>
    <mergeCell ref="B80:B81"/>
    <mergeCell ref="C80:C81"/>
    <mergeCell ref="D80:D81"/>
    <mergeCell ref="B54:B55"/>
    <mergeCell ref="B76:B77"/>
    <mergeCell ref="C38:C39"/>
    <mergeCell ref="B38:B39"/>
    <mergeCell ref="D14:D15"/>
    <mergeCell ref="F14:F15"/>
    <mergeCell ref="F72:F73"/>
    <mergeCell ref="D84:D85"/>
    <mergeCell ref="D50:D51"/>
    <mergeCell ref="D4:D5"/>
    <mergeCell ref="F6:F7"/>
    <mergeCell ref="F24:F25"/>
    <mergeCell ref="F28:F29"/>
    <mergeCell ref="B88:B89"/>
    <mergeCell ref="C50:C51"/>
    <mergeCell ref="B58:B59"/>
    <mergeCell ref="B84:B85"/>
    <mergeCell ref="G4:G5"/>
    <mergeCell ref="G6:G7"/>
    <mergeCell ref="G56:G57"/>
    <mergeCell ref="G8:G9"/>
    <mergeCell ref="G12:G13"/>
    <mergeCell ref="G14:G15"/>
    <mergeCell ref="G16:G17"/>
    <mergeCell ref="G20:G21"/>
    <mergeCell ref="G22:G23"/>
    <mergeCell ref="E4:E5"/>
    <mergeCell ref="E14:E15"/>
    <mergeCell ref="E16:E17"/>
    <mergeCell ref="E20:E21"/>
    <mergeCell ref="E22:E23"/>
    <mergeCell ref="G24:G25"/>
    <mergeCell ref="G26:G27"/>
    <mergeCell ref="G28:G29"/>
    <mergeCell ref="F22:F23"/>
    <mergeCell ref="E44:E45"/>
    <mergeCell ref="E46:E47"/>
    <mergeCell ref="E48:E49"/>
    <mergeCell ref="E34:E35"/>
    <mergeCell ref="R2:AR2"/>
    <mergeCell ref="W38:W39"/>
    <mergeCell ref="X38:X39"/>
    <mergeCell ref="Y38:Y39"/>
    <mergeCell ref="Z38:Z39"/>
    <mergeCell ref="W40:W41"/>
    <mergeCell ref="X40:X41"/>
    <mergeCell ref="Y40:Y41"/>
    <mergeCell ref="Z40:Z41"/>
    <mergeCell ref="W44:W45"/>
    <mergeCell ref="X44:X45"/>
    <mergeCell ref="Y44:Y45"/>
    <mergeCell ref="Z44:Z45"/>
    <mergeCell ref="W46:W47"/>
    <mergeCell ref="X46:X47"/>
    <mergeCell ref="Y46:Y47"/>
    <mergeCell ref="Z46:Z47"/>
    <mergeCell ref="AC12:AE13"/>
    <mergeCell ref="AG12:AG13"/>
    <mergeCell ref="AH12:AJ13"/>
    <mergeCell ref="AL12:AL13"/>
    <mergeCell ref="R7:U7"/>
    <mergeCell ref="W7:Z7"/>
    <mergeCell ref="AB7:AE7"/>
    <mergeCell ref="R31:S31"/>
    <mergeCell ref="AG7:AJ7"/>
    <mergeCell ref="AL7:AO7"/>
    <mergeCell ref="AQ7:AR7"/>
    <mergeCell ref="R10:R11"/>
    <mergeCell ref="S10:U11"/>
    <mergeCell ref="W10:W11"/>
    <mergeCell ref="X10:Z11"/>
    <mergeCell ref="AI31:AJ31"/>
    <mergeCell ref="AN31:AO31"/>
    <mergeCell ref="W31:X31"/>
    <mergeCell ref="AB31:AC31"/>
    <mergeCell ref="AG31:AH31"/>
    <mergeCell ref="AL31:AM31"/>
    <mergeCell ref="T61:U61"/>
    <mergeCell ref="Y61:Z61"/>
    <mergeCell ref="R61:S61"/>
    <mergeCell ref="W61:X61"/>
    <mergeCell ref="AB61:AC61"/>
    <mergeCell ref="AD61:AE61"/>
    <mergeCell ref="AG61:AH61"/>
    <mergeCell ref="AI61:AJ61"/>
    <mergeCell ref="AL61:AM61"/>
    <mergeCell ref="AN61:AO61"/>
    <mergeCell ref="X48:X49"/>
    <mergeCell ref="Y48:Y49"/>
    <mergeCell ref="Z48:Z49"/>
    <mergeCell ref="W50:W51"/>
    <mergeCell ref="X50:X51"/>
    <mergeCell ref="Y50:Y51"/>
    <mergeCell ref="Z50:Z51"/>
    <mergeCell ref="R34:R35"/>
    <mergeCell ref="S34:S35"/>
    <mergeCell ref="T34:T35"/>
    <mergeCell ref="U34:U35"/>
    <mergeCell ref="W32:W33"/>
    <mergeCell ref="X32:X33"/>
    <mergeCell ref="AN32:AN33"/>
    <mergeCell ref="AO32:AO33"/>
    <mergeCell ref="AN36:AN37"/>
    <mergeCell ref="B86:B87"/>
    <mergeCell ref="AD76:AE77"/>
    <mergeCell ref="AD72:AE75"/>
    <mergeCell ref="W66:W67"/>
    <mergeCell ref="X66:X67"/>
    <mergeCell ref="Y66:Z67"/>
    <mergeCell ref="C86:C87"/>
    <mergeCell ref="D86:D87"/>
    <mergeCell ref="E86:E87"/>
    <mergeCell ref="F86:F87"/>
    <mergeCell ref="G86:G87"/>
    <mergeCell ref="H86:H87"/>
    <mergeCell ref="I86:I87"/>
    <mergeCell ref="J86:J87"/>
    <mergeCell ref="H74:H75"/>
    <mergeCell ref="H80:H81"/>
    <mergeCell ref="R76:R77"/>
    <mergeCell ref="S76:S77"/>
    <mergeCell ref="T76:U77"/>
    <mergeCell ref="AB76:AB77"/>
    <mergeCell ref="AC76:AC77"/>
    <mergeCell ref="S86:U87"/>
    <mergeCell ref="X86:Z87"/>
    <mergeCell ref="AC86:AE87"/>
    <mergeCell ref="W84:W85"/>
    <mergeCell ref="X84:X85"/>
    <mergeCell ref="D82:D83"/>
    <mergeCell ref="R70:R71"/>
    <mergeCell ref="S70:S71"/>
    <mergeCell ref="AB70:AB71"/>
    <mergeCell ref="AC70:AC71"/>
    <mergeCell ref="AD70:AE71"/>
  </mergeCells>
  <phoneticPr fontId="50" type="noConversion"/>
  <conditionalFormatting sqref="S1 X1 AC1 AH1 AM1 AR1 S3:S5 X3:X5 AC3:AC5 AH3:AH5 AM3:AM5 AR3:AR5 S8:S25 X8:X25 AC8:AC25 AH8:AH25 AM8:AM25 AR8:AR30 S28:S30 X28:X30 AC28:AC30 AH28:AH30 AM28:AM30 AC32:AC55 AH32:AH55 AR32:AR60 X38:X39 X42:X49 S60 X60 AC60 AM60 S62:S85 AH62:AH85 AM62:AM85 AR62:AR96 AC91:AC95 AH91:AH98 S91:S1048576 X91:X1048576 AC99:AC1048576 AH105:AH1048576">
    <cfRule type="containsText" dxfId="26" priority="86" operator="containsText" text="N">
      <formula>NOT(ISERROR(SEARCH("N",S1)))</formula>
    </cfRule>
    <cfRule type="containsText" dxfId="25" priority="87" operator="containsText" text="S">
      <formula>NOT(ISERROR(SEARCH("S",S1)))</formula>
    </cfRule>
  </conditionalFormatting>
  <conditionalFormatting sqref="S32:S55">
    <cfRule type="containsText" dxfId="24" priority="37" operator="containsText" text="E">
      <formula>NOT(ISERROR(SEARCH("E",S32)))</formula>
    </cfRule>
    <cfRule type="containsText" dxfId="23" priority="38" operator="containsText" text="N">
      <formula>NOT(ISERROR(SEARCH("N",S32)))</formula>
    </cfRule>
    <cfRule type="containsText" dxfId="22" priority="39" operator="containsText" text="S">
      <formula>NOT(ISERROR(SEARCH("S",S32)))</formula>
    </cfRule>
  </conditionalFormatting>
  <conditionalFormatting sqref="S54:S55">
    <cfRule type="containsText" dxfId="21" priority="34" operator="containsText" text="E">
      <formula>NOT(ISERROR(SEARCH("E",S54)))</formula>
    </cfRule>
    <cfRule type="containsText" dxfId="20" priority="35" operator="containsText" text="N">
      <formula>NOT(ISERROR(SEARCH("N",S54)))</formula>
    </cfRule>
    <cfRule type="containsText" dxfId="19" priority="36" operator="containsText" text="S">
      <formula>NOT(ISERROR(SEARCH("S",S54)))</formula>
    </cfRule>
  </conditionalFormatting>
  <conditionalFormatting sqref="X32:X55">
    <cfRule type="containsText" dxfId="18" priority="46" operator="containsText" text="E">
      <formula>NOT(ISERROR(SEARCH("E",X32)))</formula>
    </cfRule>
    <cfRule type="containsText" dxfId="17" priority="47" operator="containsText" text="N">
      <formula>NOT(ISERROR(SEARCH("N",X32)))</formula>
    </cfRule>
    <cfRule type="containsText" dxfId="16" priority="48" operator="containsText" text="S">
      <formula>NOT(ISERROR(SEARCH("S",X32)))</formula>
    </cfRule>
  </conditionalFormatting>
  <conditionalFormatting sqref="X38:X39 X42:X49 AC32:AC55 S1 X1 AC1 AH1 AM1 AR1 S3:S5 X3:X5 AC3:AC5 AH3:AH5 AM3:AM5 AR3:AR5 S8:S25 X8:X25 AC8:AC25 AH8:AH25 AM8:AM25 AR8:AR30 S28:S30 X28:X30 AC28:AC30 AH28:AH30 AM28:AM30 AH32:AH55 AR32:AR60 S60 X60 AC60 AM60 S62:S85 AH62:AH85 AM62:AM85 AR62:AR96 AC91:AC95 AH91:AH98 S91:S1048576 X91:X1048576 AC99:AC1048576 AH105:AH1048576">
    <cfRule type="containsText" dxfId="15" priority="85" operator="containsText" text="E">
      <formula>NOT(ISERROR(SEARCH("E",S1)))</formula>
    </cfRule>
  </conditionalFormatting>
  <conditionalFormatting sqref="X62:X85">
    <cfRule type="containsText" dxfId="14" priority="1" operator="containsText" text="E">
      <formula>NOT(ISERROR(SEARCH("E",X62)))</formula>
    </cfRule>
    <cfRule type="containsText" dxfId="13" priority="2" operator="containsText" text="N">
      <formula>NOT(ISERROR(SEARCH("N",X62)))</formula>
    </cfRule>
    <cfRule type="containsText" dxfId="12" priority="3" operator="containsText" text="S">
      <formula>NOT(ISERROR(SEARCH("S",X62)))</formula>
    </cfRule>
  </conditionalFormatting>
  <conditionalFormatting sqref="AC36:AC37">
    <cfRule type="containsText" dxfId="11" priority="31" operator="containsText" text="E">
      <formula>NOT(ISERROR(SEARCH("E",AC36)))</formula>
    </cfRule>
    <cfRule type="containsText" dxfId="10" priority="32" operator="containsText" text="N">
      <formula>NOT(ISERROR(SEARCH("N",AC36)))</formula>
    </cfRule>
    <cfRule type="containsText" dxfId="9" priority="33" operator="containsText" text="S">
      <formula>NOT(ISERROR(SEARCH("S",AC36)))</formula>
    </cfRule>
  </conditionalFormatting>
  <conditionalFormatting sqref="AC62:AC85">
    <cfRule type="containsText" dxfId="8" priority="4" operator="containsText" text="E">
      <formula>NOT(ISERROR(SEARCH("E",AC62)))</formula>
    </cfRule>
    <cfRule type="containsText" dxfId="7" priority="5" operator="containsText" text="N">
      <formula>NOT(ISERROR(SEARCH("N",AC62)))</formula>
    </cfRule>
    <cfRule type="containsText" dxfId="6" priority="6" operator="containsText" text="S">
      <formula>NOT(ISERROR(SEARCH("S",AC62)))</formula>
    </cfRule>
  </conditionalFormatting>
  <conditionalFormatting sqref="AM32:AM55">
    <cfRule type="containsText" dxfId="5" priority="19" operator="containsText" text="E">
      <formula>NOT(ISERROR(SEARCH("E",AM32)))</formula>
    </cfRule>
    <cfRule type="containsText" dxfId="4" priority="20" operator="containsText" text="N">
      <formula>NOT(ISERROR(SEARCH("N",AM32)))</formula>
    </cfRule>
    <cfRule type="containsText" dxfId="3" priority="21" operator="containsText" text="S">
      <formula>NOT(ISERROR(SEARCH("S",AM32)))</formula>
    </cfRule>
  </conditionalFormatting>
  <conditionalFormatting sqref="AM91:AM1048576 AR98:AR1048576">
    <cfRule type="containsText" dxfId="2" priority="82" operator="containsText" text="E">
      <formula>NOT(ISERROR(SEARCH("E",AM91)))</formula>
    </cfRule>
    <cfRule type="containsText" dxfId="1" priority="83" operator="containsText" text="N">
      <formula>NOT(ISERROR(SEARCH("N",AM91)))</formula>
    </cfRule>
    <cfRule type="containsText" dxfId="0" priority="84" operator="containsText" text="S">
      <formula>NOT(ISERROR(SEARCH("S",AM91)))</formula>
    </cfRule>
  </conditionalFormatting>
  <printOptions horizontalCentered="1"/>
  <pageMargins left="0.23622047244094491" right="0.23622047244094491" top="0.35433070866141736" bottom="0.35433070866141736" header="0.31496062992125984" footer="0.31496062992125984"/>
  <pageSetup scale="3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37"/>
  <sheetViews>
    <sheetView topLeftCell="B4" zoomScale="40" zoomScaleNormal="40" workbookViewId="0">
      <selection activeCell="O8" sqref="O8"/>
    </sheetView>
  </sheetViews>
  <sheetFormatPr baseColWidth="10" defaultColWidth="14.42578125" defaultRowHeight="15" customHeight="1"/>
  <cols>
    <col min="1" max="1" width="4.5703125" customWidth="1"/>
    <col min="2" max="2" width="17.28515625" style="364" customWidth="1"/>
    <col min="3" max="3" width="15.5703125" style="902" bestFit="1" customWidth="1"/>
    <col min="4" max="4" width="1.140625" customWidth="1"/>
    <col min="5" max="5" width="25.140625" style="1150" customWidth="1"/>
    <col min="6" max="6" width="28.42578125" style="1150" customWidth="1"/>
    <col min="7" max="8" width="17.5703125" style="1150" customWidth="1"/>
    <col min="9" max="9" width="1.85546875" style="4" customWidth="1"/>
    <col min="10" max="10" width="88.7109375" customWidth="1"/>
    <col min="11" max="11" width="23.7109375" bestFit="1" customWidth="1"/>
    <col min="12" max="12" width="1.140625" customWidth="1"/>
    <col min="13" max="13" width="38.42578125" bestFit="1" customWidth="1"/>
    <col min="14" max="14" width="0.7109375" customWidth="1"/>
    <col min="15" max="17" width="21" style="562" customWidth="1"/>
    <col min="18" max="18" width="0.7109375" style="562" customWidth="1"/>
    <col min="19" max="21" width="21" style="562" customWidth="1"/>
    <col min="22" max="23" width="14.42578125" style="562" customWidth="1"/>
    <col min="24" max="42" width="14.42578125" style="562"/>
  </cols>
  <sheetData>
    <row r="1" spans="1:24" ht="15" customHeight="1">
      <c r="I1" s="88"/>
    </row>
    <row r="2" spans="1:24" ht="15.75" customHeight="1">
      <c r="A2" s="1"/>
      <c r="B2" s="2254" t="s">
        <v>325</v>
      </c>
      <c r="C2" s="2255"/>
      <c r="E2" s="2217" t="s">
        <v>1133</v>
      </c>
      <c r="F2" s="2218"/>
      <c r="G2" s="2218"/>
      <c r="H2" s="2219"/>
      <c r="I2" s="88"/>
      <c r="J2" s="2216" t="s">
        <v>726</v>
      </c>
      <c r="K2" s="2216"/>
      <c r="L2" s="1083"/>
      <c r="M2" s="2267" t="s">
        <v>1046</v>
      </c>
      <c r="N2" s="2267"/>
      <c r="O2" s="2267"/>
      <c r="P2" s="2267"/>
      <c r="Q2" s="2268"/>
      <c r="R2" s="1180"/>
      <c r="S2" s="2241" t="s">
        <v>277</v>
      </c>
      <c r="T2" s="2242"/>
      <c r="U2" s="2243"/>
      <c r="V2" s="538"/>
      <c r="W2" s="538"/>
    </row>
    <row r="3" spans="1:24" ht="15.75" customHeight="1">
      <c r="A3" s="1"/>
      <c r="B3" s="2256"/>
      <c r="C3" s="2257"/>
      <c r="D3" s="1167"/>
      <c r="E3" s="2220"/>
      <c r="F3" s="2221"/>
      <c r="G3" s="2221"/>
      <c r="H3" s="2222"/>
      <c r="I3" s="88"/>
      <c r="J3" s="2216"/>
      <c r="K3" s="2216"/>
      <c r="L3" s="1084"/>
      <c r="M3" s="2269"/>
      <c r="N3" s="2269"/>
      <c r="O3" s="2269"/>
      <c r="P3" s="2269"/>
      <c r="Q3" s="2270"/>
      <c r="R3" s="1181"/>
      <c r="S3" s="2244"/>
      <c r="T3" s="2245"/>
      <c r="U3" s="2246"/>
      <c r="V3" s="538"/>
      <c r="W3" s="538"/>
    </row>
    <row r="4" spans="1:24" ht="58.5" customHeight="1">
      <c r="A4" s="1"/>
      <c r="B4" s="2258" t="s">
        <v>326</v>
      </c>
      <c r="C4" s="2259"/>
      <c r="D4" s="1168"/>
      <c r="E4" s="2223"/>
      <c r="F4" s="2224"/>
      <c r="G4" s="2224"/>
      <c r="H4" s="2225"/>
      <c r="I4" s="88"/>
      <c r="J4" s="2216"/>
      <c r="K4" s="2216"/>
      <c r="L4" s="1085"/>
      <c r="M4" s="2271"/>
      <c r="N4" s="2271"/>
      <c r="O4" s="2271"/>
      <c r="P4" s="2271"/>
      <c r="Q4" s="2272"/>
      <c r="R4" s="1181"/>
      <c r="S4" s="2247"/>
      <c r="T4" s="2248"/>
      <c r="U4" s="2249"/>
      <c r="V4" s="538"/>
      <c r="W4" s="538"/>
    </row>
    <row r="5" spans="1:24" ht="8.25" customHeight="1">
      <c r="A5" s="1"/>
      <c r="B5" s="359"/>
      <c r="C5" s="898"/>
      <c r="I5" s="88"/>
      <c r="J5" s="1"/>
      <c r="K5" s="1"/>
      <c r="L5" s="1069"/>
      <c r="M5" s="2"/>
      <c r="N5" s="1"/>
      <c r="O5" s="539"/>
      <c r="P5" s="539"/>
      <c r="Q5" s="539"/>
      <c r="R5" s="539"/>
      <c r="S5" s="540"/>
      <c r="T5" s="540"/>
      <c r="U5" s="540"/>
      <c r="V5" s="538"/>
      <c r="W5" s="538"/>
    </row>
    <row r="6" spans="1:24" ht="37.5" customHeight="1" thickBot="1">
      <c r="A6" s="1"/>
      <c r="B6" s="2263" t="s">
        <v>640</v>
      </c>
      <c r="C6" s="2264"/>
      <c r="D6" s="64"/>
      <c r="E6" s="2265" t="s">
        <v>1</v>
      </c>
      <c r="F6" s="2265" t="s">
        <v>1117</v>
      </c>
      <c r="G6" s="2266" t="s">
        <v>1118</v>
      </c>
      <c r="H6" s="2266"/>
      <c r="I6" s="88"/>
      <c r="J6" s="2262" t="s">
        <v>0</v>
      </c>
      <c r="K6" s="2262" t="s">
        <v>1</v>
      </c>
      <c r="L6" s="64"/>
      <c r="M6" s="2260" t="s">
        <v>2</v>
      </c>
      <c r="N6" s="26"/>
      <c r="O6" s="2250" t="s">
        <v>3</v>
      </c>
      <c r="P6" s="2253"/>
      <c r="Q6" s="2252"/>
      <c r="R6" s="539"/>
      <c r="S6" s="2250" t="s">
        <v>4</v>
      </c>
      <c r="T6" s="2251"/>
      <c r="U6" s="2252"/>
      <c r="V6" s="545"/>
      <c r="W6" s="538"/>
    </row>
    <row r="7" spans="1:24" ht="37.5" customHeight="1" thickBot="1">
      <c r="A7" s="1"/>
      <c r="B7" s="502" t="s">
        <v>3</v>
      </c>
      <c r="C7" s="503" t="s">
        <v>4</v>
      </c>
      <c r="D7" s="64"/>
      <c r="E7" s="2265"/>
      <c r="F7" s="2265"/>
      <c r="G7" s="1587" t="s">
        <v>1253</v>
      </c>
      <c r="H7" s="1588" t="s">
        <v>1119</v>
      </c>
      <c r="I7" s="88"/>
      <c r="J7" s="2261"/>
      <c r="K7" s="2261"/>
      <c r="L7" s="64"/>
      <c r="M7" s="2261"/>
      <c r="N7" s="278"/>
      <c r="O7" s="541" t="s">
        <v>7</v>
      </c>
      <c r="P7" s="542" t="s">
        <v>8</v>
      </c>
      <c r="Q7" s="543" t="s">
        <v>675</v>
      </c>
      <c r="R7" s="540"/>
      <c r="S7" s="541" t="s">
        <v>7</v>
      </c>
      <c r="T7" s="544" t="s">
        <v>8</v>
      </c>
      <c r="U7" s="543" t="s">
        <v>675</v>
      </c>
      <c r="V7" s="545"/>
      <c r="W7" s="538"/>
    </row>
    <row r="8" spans="1:24" ht="34.700000000000003" customHeight="1" thickTop="1">
      <c r="A8" s="1"/>
      <c r="B8" s="2214" t="s">
        <v>918</v>
      </c>
      <c r="C8" s="2215"/>
      <c r="D8" s="64"/>
      <c r="E8" s="817" t="s">
        <v>11</v>
      </c>
      <c r="F8" s="1151" t="s">
        <v>1120</v>
      </c>
      <c r="G8" s="1151"/>
      <c r="H8" s="1151"/>
      <c r="I8" s="88"/>
      <c r="J8" s="818" t="s">
        <v>12</v>
      </c>
      <c r="K8" s="817" t="s">
        <v>11</v>
      </c>
      <c r="L8" s="64"/>
      <c r="M8" s="809" t="s">
        <v>13</v>
      </c>
      <c r="N8" s="810"/>
      <c r="O8" s="1057"/>
      <c r="P8" s="1058"/>
      <c r="Q8" s="1058"/>
      <c r="R8" s="814"/>
      <c r="S8" s="1900"/>
      <c r="T8" s="1059"/>
      <c r="U8" s="1059"/>
      <c r="V8" s="545"/>
      <c r="W8" s="538" t="s">
        <v>1135</v>
      </c>
    </row>
    <row r="9" spans="1:24" ht="34.700000000000003" customHeight="1">
      <c r="A9" s="1"/>
      <c r="B9" s="2234" t="s">
        <v>918</v>
      </c>
      <c r="C9" s="2235"/>
      <c r="D9" s="64"/>
      <c r="E9" s="1174" t="s">
        <v>15</v>
      </c>
      <c r="F9" s="1154" t="s">
        <v>1120</v>
      </c>
      <c r="G9" s="1154"/>
      <c r="H9" s="1154"/>
      <c r="I9" s="88"/>
      <c r="J9" s="795" t="s">
        <v>14</v>
      </c>
      <c r="K9" s="797" t="s">
        <v>15</v>
      </c>
      <c r="L9" s="64"/>
      <c r="M9" s="789" t="s">
        <v>13</v>
      </c>
      <c r="N9" s="790"/>
      <c r="O9" s="1062"/>
      <c r="P9" s="1063"/>
      <c r="Q9" s="1064"/>
      <c r="R9" s="793"/>
      <c r="S9" s="1901"/>
      <c r="T9" s="1065"/>
      <c r="U9" s="1066"/>
      <c r="V9" s="1182"/>
      <c r="W9" s="538"/>
    </row>
    <row r="10" spans="1:24" ht="34.700000000000003" customHeight="1">
      <c r="A10" s="1"/>
      <c r="B10" s="2236" t="s">
        <v>923</v>
      </c>
      <c r="C10" s="2237"/>
      <c r="D10" s="64"/>
      <c r="E10" s="1152" t="s">
        <v>1121</v>
      </c>
      <c r="F10" s="1151" t="s">
        <v>1122</v>
      </c>
      <c r="G10" s="1151"/>
      <c r="H10" s="1151"/>
      <c r="I10" s="88"/>
      <c r="J10" s="818" t="s">
        <v>18</v>
      </c>
      <c r="K10" s="817" t="s">
        <v>15</v>
      </c>
      <c r="L10" s="64"/>
      <c r="M10" s="809" t="s">
        <v>19</v>
      </c>
      <c r="N10" s="810"/>
      <c r="O10" s="1057"/>
      <c r="P10" s="1058"/>
      <c r="Q10" s="1058"/>
      <c r="R10" s="814"/>
      <c r="S10" s="1900"/>
      <c r="T10" s="1059"/>
      <c r="U10" s="1059"/>
      <c r="V10" s="1182"/>
      <c r="W10" s="538"/>
      <c r="X10" s="538"/>
    </row>
    <row r="11" spans="1:24" ht="34.700000000000003" customHeight="1">
      <c r="A11" s="1"/>
      <c r="B11" s="805" t="s">
        <v>9</v>
      </c>
      <c r="C11" s="805">
        <v>5</v>
      </c>
      <c r="D11" s="64"/>
      <c r="E11" s="1153" t="s">
        <v>21</v>
      </c>
      <c r="F11" s="1154" t="s">
        <v>1053</v>
      </c>
      <c r="G11" s="1154"/>
      <c r="H11" s="1154"/>
      <c r="I11" s="88"/>
      <c r="J11" s="787" t="s">
        <v>20</v>
      </c>
      <c r="K11" s="788" t="s">
        <v>21</v>
      </c>
      <c r="L11" s="64"/>
      <c r="M11" s="789" t="s">
        <v>22</v>
      </c>
      <c r="N11" s="790"/>
      <c r="O11" s="791"/>
      <c r="P11" s="792"/>
      <c r="Q11" s="792"/>
      <c r="R11" s="793"/>
      <c r="S11" s="1902"/>
      <c r="T11" s="794"/>
      <c r="U11" s="794"/>
      <c r="V11" s="1182"/>
      <c r="W11" s="538"/>
      <c r="X11" s="538"/>
    </row>
    <row r="12" spans="1:24" ht="34.700000000000003" customHeight="1">
      <c r="A12" s="5"/>
      <c r="B12" s="806" t="s">
        <v>9</v>
      </c>
      <c r="C12" s="806" t="s">
        <v>644</v>
      </c>
      <c r="D12" s="64"/>
      <c r="E12" s="1155"/>
      <c r="F12" s="1156"/>
      <c r="G12" s="1151"/>
      <c r="H12" s="1151"/>
      <c r="I12" s="88"/>
      <c r="J12" s="504" t="s">
        <v>727</v>
      </c>
      <c r="K12" s="808" t="s">
        <v>15</v>
      </c>
      <c r="L12" s="64"/>
      <c r="M12" s="809" t="s">
        <v>23</v>
      </c>
      <c r="N12" s="810"/>
      <c r="O12" s="811"/>
      <c r="P12" s="812"/>
      <c r="Q12" s="813"/>
      <c r="R12" s="814"/>
      <c r="S12" s="1903"/>
      <c r="T12" s="815"/>
      <c r="U12" s="816"/>
      <c r="V12" s="1182"/>
      <c r="W12" s="538"/>
      <c r="X12" s="538"/>
    </row>
    <row r="13" spans="1:24" ht="34.700000000000003" customHeight="1">
      <c r="A13" s="40"/>
      <c r="B13" s="805" t="s">
        <v>9</v>
      </c>
      <c r="C13" s="805">
        <v>1</v>
      </c>
      <c r="D13" s="64"/>
      <c r="E13" s="1169" t="s">
        <v>15</v>
      </c>
      <c r="F13" s="1170" t="s">
        <v>1123</v>
      </c>
      <c r="G13" s="1170"/>
      <c r="H13" s="1170"/>
      <c r="I13" s="88"/>
      <c r="J13" s="795" t="s">
        <v>1097</v>
      </c>
      <c r="K13" s="797" t="s">
        <v>15</v>
      </c>
      <c r="L13" s="64"/>
      <c r="M13" s="789" t="s">
        <v>603</v>
      </c>
      <c r="N13" s="790"/>
      <c r="O13" s="1062"/>
      <c r="P13" s="1063"/>
      <c r="Q13" s="1064"/>
      <c r="R13" s="793"/>
      <c r="S13" s="1901"/>
      <c r="T13" s="1065"/>
      <c r="U13" s="1066"/>
      <c r="V13" s="1182"/>
      <c r="W13" s="538"/>
      <c r="X13" s="538"/>
    </row>
    <row r="14" spans="1:24" ht="34.700000000000003" customHeight="1">
      <c r="A14" s="40"/>
      <c r="B14" s="806" t="s">
        <v>9</v>
      </c>
      <c r="C14" s="806">
        <v>1</v>
      </c>
      <c r="D14" s="64"/>
      <c r="E14" s="1178" t="s">
        <v>15</v>
      </c>
      <c r="F14" s="1178" t="s">
        <v>1053</v>
      </c>
      <c r="G14" s="1178"/>
      <c r="H14" s="1178"/>
      <c r="I14" s="88"/>
      <c r="J14" s="807" t="s">
        <v>1098</v>
      </c>
      <c r="K14" s="817" t="s">
        <v>15</v>
      </c>
      <c r="L14" s="64"/>
      <c r="M14" s="809" t="s">
        <v>603</v>
      </c>
      <c r="N14" s="810"/>
      <c r="O14" s="1057"/>
      <c r="P14" s="1058"/>
      <c r="Q14" s="1058"/>
      <c r="R14" s="814"/>
      <c r="S14" s="1900"/>
      <c r="T14" s="1059"/>
      <c r="U14" s="1059"/>
      <c r="V14" s="1182"/>
      <c r="W14" s="538"/>
      <c r="X14" s="538"/>
    </row>
    <row r="15" spans="1:24" ht="34.700000000000003" customHeight="1">
      <c r="A15" s="1"/>
      <c r="B15" s="805" t="s">
        <v>9</v>
      </c>
      <c r="C15" s="805">
        <v>6</v>
      </c>
      <c r="D15" s="64"/>
      <c r="E15" s="1174" t="s">
        <v>11</v>
      </c>
      <c r="F15" s="1175" t="s">
        <v>1120</v>
      </c>
      <c r="G15" s="1175"/>
      <c r="H15" s="1175"/>
      <c r="I15" s="88"/>
      <c r="J15" s="1127" t="s">
        <v>728</v>
      </c>
      <c r="K15" s="797" t="s">
        <v>11</v>
      </c>
      <c r="L15" s="64"/>
      <c r="M15" s="789" t="s">
        <v>9</v>
      </c>
      <c r="N15" s="790"/>
      <c r="O15" s="1062"/>
      <c r="P15" s="1063"/>
      <c r="Q15" s="1064"/>
      <c r="R15" s="793"/>
      <c r="S15" s="1901"/>
      <c r="T15" s="1065"/>
      <c r="U15" s="1066"/>
      <c r="V15" s="1182"/>
      <c r="W15" s="538"/>
    </row>
    <row r="16" spans="1:24" ht="34.700000000000003" customHeight="1">
      <c r="A16" s="1"/>
      <c r="B16" s="806" t="s">
        <v>9</v>
      </c>
      <c r="C16" s="806">
        <v>4</v>
      </c>
      <c r="D16" s="64"/>
      <c r="E16" s="1176" t="s">
        <v>1121</v>
      </c>
      <c r="F16" s="1179" t="s">
        <v>768</v>
      </c>
      <c r="G16" s="1179"/>
      <c r="H16" s="1179"/>
      <c r="I16" s="88"/>
      <c r="J16" s="818" t="s">
        <v>729</v>
      </c>
      <c r="K16" s="817" t="s">
        <v>16</v>
      </c>
      <c r="L16" s="64"/>
      <c r="M16" s="809" t="s">
        <v>24</v>
      </c>
      <c r="N16" s="810"/>
      <c r="O16" s="1057"/>
      <c r="P16" s="1058"/>
      <c r="Q16" s="1058"/>
      <c r="R16" s="814"/>
      <c r="S16" s="1900"/>
      <c r="T16" s="1059"/>
      <c r="U16" s="1059"/>
      <c r="V16" s="1182"/>
      <c r="W16" s="538"/>
    </row>
    <row r="17" spans="1:23" ht="34.700000000000003" customHeight="1">
      <c r="A17" s="1"/>
      <c r="B17" s="805" t="s">
        <v>9</v>
      </c>
      <c r="C17" s="805">
        <v>2</v>
      </c>
      <c r="D17" s="64"/>
      <c r="E17" s="1154" t="s">
        <v>26</v>
      </c>
      <c r="F17" s="1154" t="s">
        <v>1053</v>
      </c>
      <c r="G17" s="1154"/>
      <c r="H17" s="1154"/>
      <c r="I17" s="88"/>
      <c r="J17" s="1124" t="s">
        <v>1103</v>
      </c>
      <c r="K17" s="788" t="s">
        <v>26</v>
      </c>
      <c r="L17" s="64"/>
      <c r="M17" s="789" t="s">
        <v>1053</v>
      </c>
      <c r="N17" s="790"/>
      <c r="O17" s="791"/>
      <c r="P17" s="792"/>
      <c r="Q17" s="792"/>
      <c r="R17" s="793"/>
      <c r="S17" s="1902"/>
      <c r="T17" s="794"/>
      <c r="U17" s="794"/>
      <c r="V17" s="1182"/>
      <c r="W17" s="538"/>
    </row>
    <row r="18" spans="1:23" ht="34.700000000000003" customHeight="1">
      <c r="A18" s="1"/>
      <c r="B18" s="2236" t="s">
        <v>646</v>
      </c>
      <c r="C18" s="2237"/>
      <c r="D18" s="64"/>
      <c r="E18" s="1178" t="s">
        <v>26</v>
      </c>
      <c r="F18" s="1178" t="s">
        <v>1053</v>
      </c>
      <c r="G18" s="1178"/>
      <c r="H18" s="1178"/>
      <c r="I18" s="88"/>
      <c r="J18" s="807" t="s">
        <v>730</v>
      </c>
      <c r="K18" s="817" t="s">
        <v>26</v>
      </c>
      <c r="L18" s="64"/>
      <c r="M18" s="1061" t="s">
        <v>17</v>
      </c>
      <c r="N18" s="810"/>
      <c r="O18" s="811"/>
      <c r="P18" s="812"/>
      <c r="Q18" s="813"/>
      <c r="R18" s="814"/>
      <c r="S18" s="1903"/>
      <c r="T18" s="815"/>
      <c r="U18" s="816"/>
      <c r="V18" s="1182"/>
      <c r="W18" s="538"/>
    </row>
    <row r="19" spans="1:23" ht="34.700000000000003" customHeight="1">
      <c r="A19" s="1"/>
      <c r="B19" s="2239" t="s">
        <v>923</v>
      </c>
      <c r="C19" s="2240"/>
      <c r="D19" s="64"/>
      <c r="E19" s="1160" t="s">
        <v>11</v>
      </c>
      <c r="F19" s="1175" t="s">
        <v>1120</v>
      </c>
      <c r="G19" s="1175"/>
      <c r="H19" s="1175"/>
      <c r="I19" s="88"/>
      <c r="J19" s="796" t="s">
        <v>731</v>
      </c>
      <c r="K19" s="797" t="s">
        <v>11</v>
      </c>
      <c r="L19" s="64"/>
      <c r="M19" s="789" t="s">
        <v>335</v>
      </c>
      <c r="N19" s="790"/>
      <c r="O19" s="791"/>
      <c r="P19" s="792"/>
      <c r="Q19" s="792"/>
      <c r="R19" s="793"/>
      <c r="S19" s="1902"/>
      <c r="T19" s="794"/>
      <c r="U19" s="794"/>
      <c r="V19" s="1182"/>
      <c r="W19" s="538"/>
    </row>
    <row r="20" spans="1:23" ht="34.700000000000003" customHeight="1">
      <c r="A20" s="1"/>
      <c r="B20" s="806" t="s">
        <v>9</v>
      </c>
      <c r="C20" s="806">
        <v>1</v>
      </c>
      <c r="D20" s="64"/>
      <c r="E20" s="1152" t="s">
        <v>1121</v>
      </c>
      <c r="F20" s="1151" t="s">
        <v>1122</v>
      </c>
      <c r="G20" s="1151"/>
      <c r="H20" s="1151"/>
      <c r="I20" s="88"/>
      <c r="J20" s="818" t="s">
        <v>28</v>
      </c>
      <c r="K20" s="817" t="s">
        <v>29</v>
      </c>
      <c r="L20" s="64"/>
      <c r="M20" s="809" t="s">
        <v>24</v>
      </c>
      <c r="N20" s="810"/>
      <c r="O20" s="811"/>
      <c r="P20" s="812"/>
      <c r="Q20" s="813"/>
      <c r="R20" s="814"/>
      <c r="S20" s="1903"/>
      <c r="T20" s="815"/>
      <c r="U20" s="816"/>
      <c r="V20" s="1182"/>
      <c r="W20" s="538"/>
    </row>
    <row r="21" spans="1:23" ht="34.700000000000003" customHeight="1">
      <c r="A21" s="1"/>
      <c r="B21" s="897"/>
      <c r="C21" s="1125">
        <v>3</v>
      </c>
      <c r="D21" s="64"/>
      <c r="E21" s="1153" t="s">
        <v>11</v>
      </c>
      <c r="F21" s="1154" t="s">
        <v>1053</v>
      </c>
      <c r="G21" s="1154"/>
      <c r="H21" s="1154"/>
      <c r="I21" s="88"/>
      <c r="J21" s="796" t="s">
        <v>30</v>
      </c>
      <c r="K21" s="797" t="s">
        <v>11</v>
      </c>
      <c r="L21" s="64"/>
      <c r="M21" s="1061" t="s">
        <v>17</v>
      </c>
      <c r="N21" s="790"/>
      <c r="O21" s="791"/>
      <c r="P21" s="792"/>
      <c r="Q21" s="792"/>
      <c r="R21" s="793"/>
      <c r="S21" s="1902"/>
      <c r="T21" s="794"/>
      <c r="U21" s="794"/>
      <c r="V21" s="1182"/>
      <c r="W21" s="538"/>
    </row>
    <row r="22" spans="1:23" ht="34.700000000000003" customHeight="1">
      <c r="A22" s="1"/>
      <c r="B22" s="806" t="s">
        <v>9</v>
      </c>
      <c r="C22" s="806">
        <v>24</v>
      </c>
      <c r="D22" s="64"/>
      <c r="E22" s="1152" t="s">
        <v>1121</v>
      </c>
      <c r="F22" s="1151" t="s">
        <v>768</v>
      </c>
      <c r="G22" s="1151"/>
      <c r="H22" s="1151"/>
      <c r="I22" s="88"/>
      <c r="J22" s="1052" t="s">
        <v>1054</v>
      </c>
      <c r="K22" s="817" t="s">
        <v>26</v>
      </c>
      <c r="L22" s="64"/>
      <c r="M22" s="809" t="s">
        <v>31</v>
      </c>
      <c r="N22" s="810"/>
      <c r="O22" s="811"/>
      <c r="P22" s="812"/>
      <c r="Q22" s="813"/>
      <c r="R22" s="814"/>
      <c r="S22" s="1903"/>
      <c r="T22" s="815"/>
      <c r="U22" s="816"/>
      <c r="V22" s="1182"/>
      <c r="W22" s="538"/>
    </row>
    <row r="23" spans="1:23" ht="34.700000000000003" customHeight="1">
      <c r="A23" s="1"/>
      <c r="B23" s="805" t="s">
        <v>9</v>
      </c>
      <c r="C23" s="805">
        <v>5</v>
      </c>
      <c r="D23" s="64"/>
      <c r="E23" s="1152" t="s">
        <v>1121</v>
      </c>
      <c r="F23" s="1154" t="s">
        <v>1053</v>
      </c>
      <c r="G23" s="1154"/>
      <c r="H23" s="1154"/>
      <c r="I23" s="88"/>
      <c r="J23" s="796" t="s">
        <v>613</v>
      </c>
      <c r="K23" s="797" t="s">
        <v>11</v>
      </c>
      <c r="L23" s="64"/>
      <c r="M23" s="789" t="s">
        <v>32</v>
      </c>
      <c r="N23" s="790"/>
      <c r="O23" s="791"/>
      <c r="P23" s="792"/>
      <c r="Q23" s="792"/>
      <c r="R23" s="793"/>
      <c r="S23" s="1902"/>
      <c r="T23" s="794"/>
      <c r="U23" s="794"/>
      <c r="V23" s="540"/>
      <c r="W23" s="538"/>
    </row>
    <row r="24" spans="1:23" ht="34.700000000000003" customHeight="1">
      <c r="A24" s="1"/>
      <c r="B24" s="1055" t="s">
        <v>9</v>
      </c>
      <c r="C24" s="1055">
        <v>36</v>
      </c>
      <c r="D24" s="64"/>
      <c r="E24" s="1152" t="s">
        <v>1121</v>
      </c>
      <c r="F24" s="1151" t="s">
        <v>768</v>
      </c>
      <c r="G24" s="1151"/>
      <c r="H24" s="1151"/>
      <c r="I24" s="88"/>
      <c r="J24" s="819" t="s">
        <v>732</v>
      </c>
      <c r="K24" s="817" t="s">
        <v>33</v>
      </c>
      <c r="L24" s="64"/>
      <c r="M24" s="809" t="s">
        <v>31</v>
      </c>
      <c r="N24" s="810"/>
      <c r="O24" s="811"/>
      <c r="P24" s="812"/>
      <c r="Q24" s="813"/>
      <c r="R24" s="814"/>
      <c r="S24" s="1903"/>
      <c r="T24" s="815"/>
      <c r="U24" s="816"/>
      <c r="V24" s="540"/>
      <c r="W24" s="538"/>
    </row>
    <row r="25" spans="1:23" ht="34.700000000000003" customHeight="1">
      <c r="A25" s="1"/>
      <c r="B25" s="1054"/>
      <c r="C25" s="1054" t="s">
        <v>1381</v>
      </c>
      <c r="D25" s="64"/>
      <c r="E25" s="1172"/>
      <c r="F25" s="1173"/>
      <c r="G25" s="1170"/>
      <c r="H25" s="1170"/>
      <c r="I25" s="88"/>
      <c r="J25" s="505" t="s">
        <v>1057</v>
      </c>
      <c r="K25" s="797" t="s">
        <v>34</v>
      </c>
      <c r="L25" s="64"/>
      <c r="M25" s="789" t="s">
        <v>35</v>
      </c>
      <c r="N25" s="790"/>
      <c r="O25" s="791"/>
      <c r="P25" s="792"/>
      <c r="Q25" s="792"/>
      <c r="R25" s="793"/>
      <c r="S25" s="1902"/>
      <c r="T25" s="794"/>
      <c r="U25" s="794"/>
      <c r="V25" s="540"/>
      <c r="W25" s="538"/>
    </row>
    <row r="26" spans="1:23" ht="34.700000000000003" customHeight="1">
      <c r="A26" s="1"/>
      <c r="B26" s="1056" t="s">
        <v>9</v>
      </c>
      <c r="C26" s="1056">
        <v>1</v>
      </c>
      <c r="D26" s="64"/>
      <c r="E26" s="1178" t="s">
        <v>1134</v>
      </c>
      <c r="F26" s="1178" t="s">
        <v>1053</v>
      </c>
      <c r="G26" s="1178"/>
      <c r="H26" s="1178"/>
      <c r="I26" s="88"/>
      <c r="J26" s="1060" t="s">
        <v>1060</v>
      </c>
      <c r="K26" s="808" t="s">
        <v>16</v>
      </c>
      <c r="L26" s="64"/>
      <c r="M26" s="809" t="s">
        <v>1058</v>
      </c>
      <c r="N26" s="790"/>
      <c r="O26" s="1057"/>
      <c r="P26" s="1058"/>
      <c r="Q26" s="1058"/>
      <c r="R26" s="793"/>
      <c r="S26" s="1900"/>
      <c r="T26" s="1059"/>
      <c r="U26" s="1059"/>
      <c r="V26" s="540"/>
      <c r="W26" s="538"/>
    </row>
    <row r="27" spans="1:23" ht="34.700000000000003" customHeight="1">
      <c r="A27" s="1"/>
      <c r="B27" s="1054" t="s">
        <v>9</v>
      </c>
      <c r="C27" s="1054">
        <v>3</v>
      </c>
      <c r="D27" s="64"/>
      <c r="E27" s="1171" t="s">
        <v>11</v>
      </c>
      <c r="F27" s="1171" t="s">
        <v>1120</v>
      </c>
      <c r="G27" s="1171"/>
      <c r="H27" s="1171"/>
      <c r="I27" s="88"/>
      <c r="J27" s="505" t="s">
        <v>1055</v>
      </c>
      <c r="K27" s="797" t="s">
        <v>11</v>
      </c>
      <c r="L27" s="64"/>
      <c r="M27" s="789" t="s">
        <v>768</v>
      </c>
      <c r="N27" s="790"/>
      <c r="O27" s="791"/>
      <c r="P27" s="792"/>
      <c r="Q27" s="792"/>
      <c r="R27" s="793"/>
      <c r="S27" s="1902"/>
      <c r="T27" s="794"/>
      <c r="U27" s="794"/>
      <c r="V27" s="540"/>
      <c r="W27" s="538"/>
    </row>
    <row r="28" spans="1:23" ht="34.700000000000003" customHeight="1">
      <c r="A28" s="1"/>
      <c r="B28" s="2238" t="s">
        <v>646</v>
      </c>
      <c r="C28" s="2237"/>
      <c r="D28" s="64"/>
      <c r="E28" s="808" t="s">
        <v>15</v>
      </c>
      <c r="F28" s="1151" t="s">
        <v>1053</v>
      </c>
      <c r="G28" s="1151"/>
      <c r="H28" s="1151"/>
      <c r="I28" s="88"/>
      <c r="J28" s="820" t="s">
        <v>733</v>
      </c>
      <c r="K28" s="817" t="s">
        <v>15</v>
      </c>
      <c r="L28" s="64"/>
      <c r="M28" s="1061" t="s">
        <v>17</v>
      </c>
      <c r="N28" s="810"/>
      <c r="O28" s="811"/>
      <c r="P28" s="812"/>
      <c r="Q28" s="813"/>
      <c r="R28" s="814"/>
      <c r="S28" s="1903"/>
      <c r="T28" s="815"/>
      <c r="U28" s="816"/>
      <c r="V28" s="540"/>
      <c r="W28" s="538"/>
    </row>
    <row r="29" spans="1:23" ht="34.700000000000003" customHeight="1">
      <c r="A29" s="1"/>
      <c r="B29" s="2234" t="s">
        <v>646</v>
      </c>
      <c r="C29" s="2235"/>
      <c r="D29" s="64"/>
      <c r="E29" s="1177" t="s">
        <v>15</v>
      </c>
      <c r="F29" s="1154" t="s">
        <v>1053</v>
      </c>
      <c r="G29" s="1154"/>
      <c r="H29" s="1154"/>
      <c r="I29" s="88"/>
      <c r="J29" s="798" t="s">
        <v>734</v>
      </c>
      <c r="K29" s="797" t="s">
        <v>15</v>
      </c>
      <c r="L29" s="64"/>
      <c r="M29" s="1061" t="s">
        <v>17</v>
      </c>
      <c r="N29" s="799"/>
      <c r="O29" s="791"/>
      <c r="P29" s="792"/>
      <c r="Q29" s="792"/>
      <c r="R29" s="793"/>
      <c r="S29" s="1902"/>
      <c r="T29" s="794"/>
      <c r="U29" s="794"/>
      <c r="V29" s="540"/>
      <c r="W29" s="538"/>
    </row>
    <row r="30" spans="1:23" ht="34.700000000000003" customHeight="1">
      <c r="A30" s="1"/>
      <c r="B30" s="1055" t="s">
        <v>9</v>
      </c>
      <c r="C30" s="1055">
        <v>3</v>
      </c>
      <c r="D30" s="64"/>
      <c r="E30" s="808" t="s">
        <v>15</v>
      </c>
      <c r="F30" s="1151" t="s">
        <v>1053</v>
      </c>
      <c r="G30" s="1151"/>
      <c r="H30" s="1151"/>
      <c r="I30" s="88"/>
      <c r="J30" s="820" t="s">
        <v>1061</v>
      </c>
      <c r="K30" s="808" t="s">
        <v>15</v>
      </c>
      <c r="L30" s="64"/>
      <c r="M30" s="809" t="s">
        <v>1053</v>
      </c>
      <c r="N30" s="810"/>
      <c r="O30" s="811"/>
      <c r="P30" s="812"/>
      <c r="Q30" s="813"/>
      <c r="R30" s="814"/>
      <c r="S30" s="1903"/>
      <c r="T30" s="815"/>
      <c r="U30" s="816"/>
      <c r="V30" s="540"/>
      <c r="W30" s="538"/>
    </row>
    <row r="31" spans="1:23" ht="34.700000000000003" customHeight="1">
      <c r="A31" s="1"/>
      <c r="B31" s="1053" t="s">
        <v>9</v>
      </c>
      <c r="C31" s="1053">
        <v>2</v>
      </c>
      <c r="D31" s="64"/>
      <c r="E31" s="1152" t="s">
        <v>1121</v>
      </c>
      <c r="F31" s="1154" t="s">
        <v>1122</v>
      </c>
      <c r="G31" s="1154"/>
      <c r="H31" s="1154"/>
      <c r="I31" s="88"/>
      <c r="J31" s="798" t="s">
        <v>36</v>
      </c>
      <c r="K31" s="788" t="s">
        <v>11</v>
      </c>
      <c r="L31" s="64"/>
      <c r="M31" s="789" t="s">
        <v>25</v>
      </c>
      <c r="N31" s="810"/>
      <c r="O31" s="1062"/>
      <c r="P31" s="1063"/>
      <c r="Q31" s="1064"/>
      <c r="R31" s="814"/>
      <c r="S31" s="1901"/>
      <c r="T31" s="1065"/>
      <c r="U31" s="1066"/>
      <c r="V31" s="540"/>
      <c r="W31" s="538"/>
    </row>
    <row r="32" spans="1:23" ht="34.700000000000003" customHeight="1">
      <c r="A32" s="1"/>
      <c r="B32" s="1056" t="s">
        <v>9</v>
      </c>
      <c r="C32" s="1056">
        <v>400</v>
      </c>
      <c r="D32" s="64"/>
      <c r="E32" s="808" t="s">
        <v>15</v>
      </c>
      <c r="F32" s="1151" t="s">
        <v>1248</v>
      </c>
      <c r="G32" s="1151"/>
      <c r="H32" s="1151"/>
      <c r="I32" s="88"/>
      <c r="J32" s="820" t="s">
        <v>1059</v>
      </c>
      <c r="K32" s="808" t="s">
        <v>27</v>
      </c>
      <c r="L32" s="64"/>
      <c r="M32" s="809" t="s">
        <v>1053</v>
      </c>
      <c r="N32" s="810"/>
      <c r="O32" s="811"/>
      <c r="P32" s="812"/>
      <c r="Q32" s="813"/>
      <c r="R32" s="814"/>
      <c r="S32" s="1903"/>
      <c r="T32" s="815"/>
      <c r="U32" s="816"/>
      <c r="V32" s="540"/>
      <c r="W32" s="538"/>
    </row>
    <row r="33" spans="1:23" ht="34.700000000000003" customHeight="1">
      <c r="A33" s="1"/>
      <c r="B33" s="2232" t="s">
        <v>647</v>
      </c>
      <c r="C33" s="2233"/>
      <c r="D33" s="64"/>
      <c r="E33" s="1177" t="s">
        <v>11</v>
      </c>
      <c r="F33" s="1154" t="s">
        <v>1120</v>
      </c>
      <c r="G33" s="1154"/>
      <c r="H33" s="1154"/>
      <c r="I33" s="88"/>
      <c r="J33" s="798" t="s">
        <v>37</v>
      </c>
      <c r="K33" s="797" t="s">
        <v>11</v>
      </c>
      <c r="L33" s="64"/>
      <c r="M33" s="789" t="s">
        <v>25</v>
      </c>
      <c r="N33" s="799"/>
      <c r="O33" s="791"/>
      <c r="P33" s="792"/>
      <c r="Q33" s="792"/>
      <c r="R33" s="793"/>
      <c r="S33" s="1902"/>
      <c r="T33" s="794"/>
      <c r="U33" s="794"/>
      <c r="V33" s="540"/>
      <c r="W33" s="538"/>
    </row>
    <row r="34" spans="1:23" ht="34.700000000000003" customHeight="1">
      <c r="A34" s="1"/>
      <c r="B34" s="806"/>
      <c r="C34" s="806">
        <v>500</v>
      </c>
      <c r="D34" s="64"/>
      <c r="E34" s="808" t="s">
        <v>27</v>
      </c>
      <c r="F34" s="1151" t="s">
        <v>1120</v>
      </c>
      <c r="G34" s="1151"/>
      <c r="H34" s="1151"/>
      <c r="I34" s="88"/>
      <c r="J34" s="820" t="s">
        <v>38</v>
      </c>
      <c r="K34" s="817" t="s">
        <v>27</v>
      </c>
      <c r="L34" s="64"/>
      <c r="M34" s="809" t="s">
        <v>13</v>
      </c>
      <c r="N34" s="810"/>
      <c r="O34" s="811"/>
      <c r="P34" s="812"/>
      <c r="Q34" s="813"/>
      <c r="R34" s="814"/>
      <c r="S34" s="1903"/>
      <c r="T34" s="815"/>
      <c r="U34" s="816"/>
      <c r="V34" s="540"/>
      <c r="W34" s="538"/>
    </row>
    <row r="35" spans="1:23" ht="34.700000000000003" customHeight="1">
      <c r="A35" s="1"/>
      <c r="B35" s="1053" t="s">
        <v>9</v>
      </c>
      <c r="C35" s="1053">
        <v>6</v>
      </c>
      <c r="D35" s="64"/>
      <c r="E35" s="1177" t="s">
        <v>15</v>
      </c>
      <c r="F35" s="1154" t="s">
        <v>768</v>
      </c>
      <c r="G35" s="1154"/>
      <c r="H35" s="1154"/>
      <c r="I35" s="88"/>
      <c r="J35" s="798" t="s">
        <v>1153</v>
      </c>
      <c r="K35" s="797" t="s">
        <v>15</v>
      </c>
      <c r="L35" s="64"/>
      <c r="M35" s="789" t="s">
        <v>24</v>
      </c>
      <c r="N35" s="799"/>
      <c r="O35" s="791"/>
      <c r="P35" s="792"/>
      <c r="Q35" s="792"/>
      <c r="R35" s="793"/>
      <c r="S35" s="1902"/>
      <c r="T35" s="794"/>
      <c r="U35" s="794"/>
      <c r="V35" s="540"/>
      <c r="W35" s="538"/>
    </row>
    <row r="36" spans="1:23" ht="34.700000000000003" customHeight="1">
      <c r="A36" s="1"/>
      <c r="B36" s="1056" t="s">
        <v>9</v>
      </c>
      <c r="C36" s="1056">
        <v>3</v>
      </c>
      <c r="D36" s="64"/>
      <c r="E36" s="808" t="s">
        <v>15</v>
      </c>
      <c r="F36" s="1151" t="s">
        <v>1053</v>
      </c>
      <c r="G36" s="1151"/>
      <c r="H36" s="1151"/>
      <c r="I36" s="88"/>
      <c r="J36" s="820" t="s">
        <v>1152</v>
      </c>
      <c r="K36" s="808" t="s">
        <v>15</v>
      </c>
      <c r="L36" s="64"/>
      <c r="M36" s="809" t="s">
        <v>1149</v>
      </c>
      <c r="N36" s="799"/>
      <c r="O36" s="1057"/>
      <c r="P36" s="1058"/>
      <c r="Q36" s="1058"/>
      <c r="R36" s="814"/>
      <c r="S36" s="1900"/>
      <c r="T36" s="1059"/>
      <c r="U36" s="1059"/>
      <c r="V36" s="540"/>
      <c r="W36" s="538"/>
    </row>
    <row r="37" spans="1:23" ht="34.700000000000003" customHeight="1">
      <c r="A37" s="1"/>
      <c r="B37" s="2230" t="s">
        <v>646</v>
      </c>
      <c r="C37" s="2231"/>
      <c r="D37" s="64"/>
      <c r="E37" s="1174" t="s">
        <v>15</v>
      </c>
      <c r="F37" s="1154" t="s">
        <v>1053</v>
      </c>
      <c r="G37" s="1154"/>
      <c r="H37" s="1154"/>
      <c r="I37" s="88"/>
      <c r="J37" s="798" t="s">
        <v>1150</v>
      </c>
      <c r="K37" s="788" t="s">
        <v>15</v>
      </c>
      <c r="L37" s="64"/>
      <c r="M37" s="1061" t="s">
        <v>17</v>
      </c>
      <c r="N37" s="810"/>
      <c r="O37" s="1062"/>
      <c r="P37" s="1063"/>
      <c r="Q37" s="1064"/>
      <c r="R37" s="793"/>
      <c r="S37" s="1901"/>
      <c r="T37" s="1065"/>
      <c r="U37" s="1066"/>
      <c r="V37" s="540"/>
      <c r="W37" s="538"/>
    </row>
    <row r="38" spans="1:23" ht="34.700000000000003" customHeight="1">
      <c r="A38" s="1"/>
      <c r="B38" s="1056" t="s">
        <v>9</v>
      </c>
      <c r="C38" s="1056">
        <v>3</v>
      </c>
      <c r="D38" s="64"/>
      <c r="E38" s="808" t="s">
        <v>15</v>
      </c>
      <c r="F38" s="1151" t="s">
        <v>1254</v>
      </c>
      <c r="G38" s="1151"/>
      <c r="H38" s="1151"/>
      <c r="I38" s="88"/>
      <c r="J38" s="820" t="s">
        <v>1151</v>
      </c>
      <c r="K38" s="808" t="s">
        <v>15</v>
      </c>
      <c r="L38" s="64"/>
      <c r="M38" s="809" t="s">
        <v>1056</v>
      </c>
      <c r="N38" s="790"/>
      <c r="O38" s="1057"/>
      <c r="P38" s="1058"/>
      <c r="Q38" s="1058"/>
      <c r="R38" s="814"/>
      <c r="S38" s="1900"/>
      <c r="T38" s="1059"/>
      <c r="U38" s="1059"/>
      <c r="V38" s="540"/>
      <c r="W38" s="538"/>
    </row>
    <row r="39" spans="1:23" ht="34.700000000000003" customHeight="1">
      <c r="A39" s="1"/>
      <c r="B39" s="1105" t="s">
        <v>9</v>
      </c>
      <c r="C39" s="1105">
        <v>2</v>
      </c>
      <c r="D39" s="64"/>
      <c r="E39" s="1177" t="s">
        <v>11</v>
      </c>
      <c r="F39" s="1154" t="s">
        <v>1120</v>
      </c>
      <c r="G39" s="1154"/>
      <c r="H39" s="1154"/>
      <c r="I39" s="88"/>
      <c r="J39" s="800" t="s">
        <v>40</v>
      </c>
      <c r="K39" s="801" t="s">
        <v>11</v>
      </c>
      <c r="L39" s="64"/>
      <c r="M39" s="802" t="s">
        <v>13</v>
      </c>
      <c r="N39" s="803"/>
      <c r="O39" s="1062"/>
      <c r="P39" s="1063"/>
      <c r="Q39" s="1064"/>
      <c r="R39" s="793"/>
      <c r="S39" s="1901"/>
      <c r="T39" s="1065"/>
      <c r="U39" s="1066"/>
      <c r="V39" s="540"/>
      <c r="W39" s="538"/>
    </row>
    <row r="40" spans="1:23" ht="34.700000000000003" customHeight="1">
      <c r="A40" s="1"/>
      <c r="B40" s="825" t="s">
        <v>9</v>
      </c>
      <c r="C40" s="825" t="s">
        <v>1386</v>
      </c>
      <c r="D40" s="64"/>
      <c r="E40" s="817" t="s">
        <v>11</v>
      </c>
      <c r="F40" s="1151" t="s">
        <v>1120</v>
      </c>
      <c r="G40" s="1151"/>
      <c r="H40" s="1151"/>
      <c r="I40" s="88"/>
      <c r="J40" s="639" t="s">
        <v>412</v>
      </c>
      <c r="K40" s="821" t="s">
        <v>11</v>
      </c>
      <c r="L40" s="64"/>
      <c r="M40" s="822" t="s">
        <v>24</v>
      </c>
      <c r="N40" s="1068"/>
      <c r="O40" s="1057"/>
      <c r="P40" s="1058"/>
      <c r="Q40" s="1058"/>
      <c r="R40" s="814"/>
      <c r="S40" s="1900"/>
      <c r="T40" s="1059"/>
      <c r="U40" s="1059"/>
      <c r="V40" s="540"/>
      <c r="W40" s="538"/>
    </row>
    <row r="41" spans="1:23" ht="34.700000000000003" customHeight="1">
      <c r="A41" s="1"/>
      <c r="B41" s="804"/>
      <c r="C41" s="804" t="s">
        <v>1381</v>
      </c>
      <c r="D41" s="64"/>
      <c r="E41" s="1177" t="s">
        <v>15</v>
      </c>
      <c r="F41" s="1154" t="s">
        <v>768</v>
      </c>
      <c r="G41" s="1154"/>
      <c r="H41" s="1154"/>
      <c r="I41" s="88"/>
      <c r="J41" s="800" t="s">
        <v>321</v>
      </c>
      <c r="K41" s="801" t="s">
        <v>15</v>
      </c>
      <c r="L41" s="64"/>
      <c r="M41" s="802" t="s">
        <v>330</v>
      </c>
      <c r="N41" s="803"/>
      <c r="O41" s="1062"/>
      <c r="P41" s="1063"/>
      <c r="Q41" s="1064"/>
      <c r="R41" s="793"/>
      <c r="S41" s="1901"/>
      <c r="T41" s="1065"/>
      <c r="U41" s="1066"/>
      <c r="V41" s="540"/>
      <c r="W41" s="538"/>
    </row>
    <row r="42" spans="1:23" ht="34.700000000000003" customHeight="1">
      <c r="A42" s="1"/>
      <c r="B42" s="2228" t="s">
        <v>919</v>
      </c>
      <c r="C42" s="2229"/>
      <c r="D42" s="64"/>
      <c r="E42" s="808" t="s">
        <v>11</v>
      </c>
      <c r="F42" s="1151" t="s">
        <v>1053</v>
      </c>
      <c r="G42" s="1151"/>
      <c r="H42" s="1151"/>
      <c r="I42" s="88"/>
      <c r="J42" s="824" t="s">
        <v>735</v>
      </c>
      <c r="K42" s="821" t="s">
        <v>11</v>
      </c>
      <c r="L42" s="64"/>
      <c r="M42" s="822" t="s">
        <v>25</v>
      </c>
      <c r="N42" s="1068"/>
      <c r="O42" s="1057"/>
      <c r="P42" s="1058"/>
      <c r="Q42" s="1058"/>
      <c r="R42" s="814"/>
      <c r="S42" s="1900"/>
      <c r="T42" s="1059"/>
      <c r="U42" s="1059"/>
      <c r="V42" s="540"/>
      <c r="W42" s="538"/>
    </row>
    <row r="43" spans="1:23" ht="34.700000000000003" customHeight="1">
      <c r="A43" s="1"/>
      <c r="B43" s="804"/>
      <c r="C43" s="804">
        <v>2</v>
      </c>
      <c r="D43" s="64"/>
      <c r="E43" s="1177" t="s">
        <v>11</v>
      </c>
      <c r="F43" s="1154" t="s">
        <v>1053</v>
      </c>
      <c r="G43" s="1154"/>
      <c r="H43" s="1154"/>
      <c r="I43" s="88"/>
      <c r="J43" s="800" t="s">
        <v>41</v>
      </c>
      <c r="K43" s="801" t="s">
        <v>11</v>
      </c>
      <c r="L43" s="64"/>
      <c r="M43" s="802" t="s">
        <v>24</v>
      </c>
      <c r="N43" s="803"/>
      <c r="O43" s="1062"/>
      <c r="P43" s="1063"/>
      <c r="Q43" s="1064"/>
      <c r="R43" s="793"/>
      <c r="S43" s="1901"/>
      <c r="T43" s="1065"/>
      <c r="U43" s="1066"/>
      <c r="V43" s="540"/>
      <c r="W43" s="538"/>
    </row>
    <row r="44" spans="1:23" ht="34.700000000000003" customHeight="1">
      <c r="A44" s="1"/>
      <c r="B44" s="825" t="s">
        <v>9</v>
      </c>
      <c r="C44" s="825">
        <v>1000</v>
      </c>
      <c r="D44" s="64"/>
      <c r="E44" s="808" t="s">
        <v>27</v>
      </c>
      <c r="F44" s="1151" t="s">
        <v>1124</v>
      </c>
      <c r="G44" s="1151"/>
      <c r="H44" s="1151"/>
      <c r="I44" s="88"/>
      <c r="J44" s="824" t="s">
        <v>736</v>
      </c>
      <c r="K44" s="821" t="s">
        <v>27</v>
      </c>
      <c r="L44" s="64"/>
      <c r="M44" s="822" t="s">
        <v>13</v>
      </c>
      <c r="N44" s="1068"/>
      <c r="O44" s="1057"/>
      <c r="P44" s="1058"/>
      <c r="Q44" s="1058"/>
      <c r="R44" s="814"/>
      <c r="S44" s="1900"/>
      <c r="T44" s="1059"/>
      <c r="U44" s="1059"/>
      <c r="V44" s="540"/>
      <c r="W44" s="538"/>
    </row>
    <row r="45" spans="1:23" ht="34.700000000000003" customHeight="1">
      <c r="A45" s="1"/>
      <c r="B45" s="804" t="s">
        <v>9</v>
      </c>
      <c r="C45" s="804">
        <v>7</v>
      </c>
      <c r="D45" s="64"/>
      <c r="E45" s="1177" t="s">
        <v>11</v>
      </c>
      <c r="F45" s="1154" t="s">
        <v>1120</v>
      </c>
      <c r="G45" s="1154"/>
      <c r="H45" s="1154"/>
      <c r="I45" s="88"/>
      <c r="J45" s="800" t="s">
        <v>295</v>
      </c>
      <c r="K45" s="801" t="s">
        <v>11</v>
      </c>
      <c r="L45" s="64"/>
      <c r="M45" s="802" t="s">
        <v>9</v>
      </c>
      <c r="N45" s="803"/>
      <c r="O45" s="1062"/>
      <c r="P45" s="1063"/>
      <c r="Q45" s="1064"/>
      <c r="R45" s="793"/>
      <c r="S45" s="1901"/>
      <c r="T45" s="1065"/>
      <c r="U45" s="1066"/>
      <c r="V45" s="540"/>
      <c r="W45" s="538"/>
    </row>
    <row r="46" spans="1:23" ht="34.700000000000003" customHeight="1">
      <c r="A46" s="1"/>
      <c r="B46" s="825" t="s">
        <v>9</v>
      </c>
      <c r="C46" s="825">
        <v>2</v>
      </c>
      <c r="D46" s="64"/>
      <c r="E46" s="808" t="s">
        <v>42</v>
      </c>
      <c r="F46" s="1151" t="s">
        <v>1120</v>
      </c>
      <c r="G46" s="1151"/>
      <c r="H46" s="1151"/>
      <c r="I46" s="88"/>
      <c r="J46" s="824" t="s">
        <v>737</v>
      </c>
      <c r="K46" s="821" t="s">
        <v>42</v>
      </c>
      <c r="L46" s="64"/>
      <c r="M46" s="822" t="s">
        <v>43</v>
      </c>
      <c r="N46" s="1068"/>
      <c r="O46" s="1057"/>
      <c r="P46" s="1058"/>
      <c r="Q46" s="1058"/>
      <c r="R46" s="814"/>
      <c r="S46" s="1900"/>
      <c r="T46" s="1059"/>
      <c r="U46" s="1059"/>
      <c r="V46" s="540"/>
      <c r="W46" s="538"/>
    </row>
    <row r="47" spans="1:23" ht="34.700000000000003" customHeight="1">
      <c r="A47" s="1"/>
      <c r="B47" s="968" t="s">
        <v>9</v>
      </c>
      <c r="C47" s="968">
        <v>3</v>
      </c>
      <c r="D47" s="64"/>
      <c r="E47" s="1177" t="s">
        <v>15</v>
      </c>
      <c r="F47" s="1154" t="s">
        <v>768</v>
      </c>
      <c r="G47" s="1154"/>
      <c r="H47" s="1154"/>
      <c r="I47" s="88"/>
      <c r="J47" s="800" t="s">
        <v>498</v>
      </c>
      <c r="K47" s="801" t="s">
        <v>15</v>
      </c>
      <c r="L47" s="64"/>
      <c r="M47" s="802" t="s">
        <v>1062</v>
      </c>
      <c r="N47" s="803"/>
      <c r="O47" s="1062"/>
      <c r="P47" s="1063"/>
      <c r="Q47" s="1064"/>
      <c r="R47" s="793"/>
      <c r="S47" s="1901"/>
      <c r="T47" s="1065"/>
      <c r="U47" s="1066"/>
      <c r="V47" s="540"/>
      <c r="W47" s="538"/>
    </row>
    <row r="48" spans="1:23" ht="34.700000000000003" customHeight="1">
      <c r="A48" s="1"/>
      <c r="B48" s="969" t="s">
        <v>9</v>
      </c>
      <c r="C48" s="969">
        <v>40</v>
      </c>
      <c r="D48" s="64"/>
      <c r="E48" s="808" t="s">
        <v>15</v>
      </c>
      <c r="F48" s="1151" t="s">
        <v>1053</v>
      </c>
      <c r="G48" s="1151"/>
      <c r="H48" s="1151"/>
      <c r="I48" s="88"/>
      <c r="J48" s="824" t="s">
        <v>1041</v>
      </c>
      <c r="K48" s="821" t="s">
        <v>15</v>
      </c>
      <c r="L48" s="1070"/>
      <c r="M48" s="822" t="s">
        <v>24</v>
      </c>
      <c r="N48" s="823"/>
      <c r="O48" s="1057"/>
      <c r="P48" s="1058"/>
      <c r="Q48" s="1058"/>
      <c r="R48" s="814"/>
      <c r="S48" s="1900"/>
      <c r="T48" s="1059"/>
      <c r="U48" s="1059"/>
      <c r="V48" s="540"/>
      <c r="W48" s="538"/>
    </row>
    <row r="49" spans="1:23" ht="34.700000000000003" customHeight="1">
      <c r="A49" s="1"/>
      <c r="B49" s="1811" t="s">
        <v>9</v>
      </c>
      <c r="C49" s="1811" t="s">
        <v>9</v>
      </c>
      <c r="D49" s="64"/>
      <c r="E49" s="1177" t="s">
        <v>15</v>
      </c>
      <c r="F49" s="1154" t="s">
        <v>1053</v>
      </c>
      <c r="G49" s="1154"/>
      <c r="H49" s="1154"/>
      <c r="I49" s="88"/>
      <c r="J49" s="824" t="s">
        <v>1042</v>
      </c>
      <c r="K49" s="821" t="s">
        <v>15</v>
      </c>
      <c r="L49" s="1070"/>
      <c r="M49" s="822" t="s">
        <v>24</v>
      </c>
      <c r="N49" s="823"/>
      <c r="O49" s="811"/>
      <c r="P49" s="812"/>
      <c r="Q49" s="813"/>
      <c r="R49" s="814"/>
      <c r="S49" s="1903"/>
      <c r="T49" s="815"/>
      <c r="U49" s="816"/>
      <c r="V49" s="540"/>
      <c r="W49" s="538"/>
    </row>
    <row r="50" spans="1:23" ht="34.700000000000003" customHeight="1">
      <c r="A50" s="1"/>
      <c r="B50" s="1812" t="s">
        <v>9</v>
      </c>
      <c r="C50" s="1812" t="s">
        <v>9</v>
      </c>
      <c r="D50" s="64"/>
      <c r="E50" s="808" t="s">
        <v>15</v>
      </c>
      <c r="F50" s="1151" t="s">
        <v>1053</v>
      </c>
      <c r="G50" s="1151"/>
      <c r="H50" s="1151"/>
      <c r="I50" s="88"/>
      <c r="J50" s="824" t="s">
        <v>957</v>
      </c>
      <c r="K50" s="821" t="s">
        <v>15</v>
      </c>
      <c r="L50" s="64"/>
      <c r="M50" s="822" t="s">
        <v>24</v>
      </c>
      <c r="N50" s="1068"/>
      <c r="O50" s="1057"/>
      <c r="P50" s="1058"/>
      <c r="Q50" s="1058"/>
      <c r="R50" s="814"/>
      <c r="S50" s="1900"/>
      <c r="T50" s="1059"/>
      <c r="U50" s="1059"/>
      <c r="V50" s="540"/>
      <c r="W50" s="538"/>
    </row>
    <row r="51" spans="1:23" ht="34.700000000000003" customHeight="1">
      <c r="A51" s="1"/>
      <c r="B51" s="2226" t="s">
        <v>646</v>
      </c>
      <c r="C51" s="2227"/>
      <c r="D51" s="64"/>
      <c r="E51" s="1177" t="s">
        <v>15</v>
      </c>
      <c r="F51" s="1154" t="s">
        <v>1053</v>
      </c>
      <c r="G51" s="1154"/>
      <c r="H51" s="1154"/>
      <c r="I51" s="88"/>
      <c r="J51" s="800" t="s">
        <v>738</v>
      </c>
      <c r="K51" s="801" t="s">
        <v>15</v>
      </c>
      <c r="L51" s="64"/>
      <c r="M51" s="802" t="s">
        <v>17</v>
      </c>
      <c r="N51" s="803"/>
      <c r="O51" s="1062"/>
      <c r="P51" s="1063"/>
      <c r="Q51" s="1064"/>
      <c r="R51" s="793"/>
      <c r="S51" s="1901"/>
      <c r="T51" s="1065"/>
      <c r="U51" s="1066"/>
      <c r="V51" s="540"/>
      <c r="W51" s="538"/>
    </row>
    <row r="52" spans="1:23" ht="34.700000000000003" customHeight="1">
      <c r="A52" s="1"/>
      <c r="B52" s="969" t="s">
        <v>9</v>
      </c>
      <c r="C52" s="969">
        <v>2</v>
      </c>
      <c r="D52" s="64"/>
      <c r="E52" s="817" t="s">
        <v>15</v>
      </c>
      <c r="F52" s="1151" t="s">
        <v>1053</v>
      </c>
      <c r="G52" s="1151"/>
      <c r="H52" s="1151"/>
      <c r="I52" s="88"/>
      <c r="J52" s="824" t="s">
        <v>738</v>
      </c>
      <c r="K52" s="1051" t="s">
        <v>15</v>
      </c>
      <c r="L52" s="1070"/>
      <c r="M52" s="822" t="s">
        <v>1138</v>
      </c>
      <c r="N52" s="1195"/>
      <c r="O52" s="811"/>
      <c r="P52" s="812"/>
      <c r="Q52" s="813"/>
      <c r="R52" s="814"/>
      <c r="S52" s="1903"/>
      <c r="T52" s="815"/>
      <c r="U52" s="816"/>
      <c r="V52" s="540"/>
      <c r="W52" s="538"/>
    </row>
    <row r="53" spans="1:23" ht="34.700000000000003" customHeight="1">
      <c r="A53" s="1"/>
      <c r="B53" s="2274" t="s">
        <v>918</v>
      </c>
      <c r="C53" s="2275"/>
      <c r="D53" s="64"/>
      <c r="E53" s="1174" t="s">
        <v>15</v>
      </c>
      <c r="F53" s="1154" t="s">
        <v>1120</v>
      </c>
      <c r="G53" s="1154"/>
      <c r="H53" s="1154"/>
      <c r="I53" s="88"/>
      <c r="J53" s="800" t="s">
        <v>601</v>
      </c>
      <c r="K53" s="1067" t="s">
        <v>15</v>
      </c>
      <c r="L53" s="1086"/>
      <c r="M53" s="802" t="s">
        <v>13</v>
      </c>
      <c r="N53" s="803"/>
      <c r="O53" s="791"/>
      <c r="P53" s="792"/>
      <c r="Q53" s="792"/>
      <c r="R53" s="793"/>
      <c r="S53" s="1902"/>
      <c r="T53" s="794"/>
      <c r="U53" s="794"/>
      <c r="V53" s="540"/>
      <c r="W53" s="538"/>
    </row>
    <row r="54" spans="1:23" ht="34.700000000000003" customHeight="1">
      <c r="A54" s="1"/>
      <c r="B54" s="2289" t="s">
        <v>923</v>
      </c>
      <c r="C54" s="2290"/>
      <c r="D54" s="64"/>
      <c r="E54" s="808" t="s">
        <v>15</v>
      </c>
      <c r="F54" s="1151" t="s">
        <v>1248</v>
      </c>
      <c r="G54" s="1151"/>
      <c r="H54" s="1151"/>
      <c r="I54" s="88"/>
      <c r="J54" s="824" t="s">
        <v>1052</v>
      </c>
      <c r="K54" s="1051" t="s">
        <v>15</v>
      </c>
      <c r="L54" s="1070"/>
      <c r="M54" s="822" t="s">
        <v>1053</v>
      </c>
      <c r="N54" s="823"/>
      <c r="O54" s="811"/>
      <c r="P54" s="812"/>
      <c r="Q54" s="813"/>
      <c r="R54" s="814"/>
      <c r="S54" s="1903"/>
      <c r="T54" s="815"/>
      <c r="U54" s="816"/>
      <c r="V54" s="540"/>
      <c r="W54" s="538"/>
    </row>
    <row r="55" spans="1:23" ht="34.700000000000003" customHeight="1">
      <c r="A55" s="1"/>
      <c r="B55" s="1811" t="s">
        <v>9</v>
      </c>
      <c r="C55" s="1811">
        <v>1</v>
      </c>
      <c r="D55" s="64"/>
      <c r="E55" s="1174" t="s">
        <v>15</v>
      </c>
      <c r="F55" s="1154" t="s">
        <v>1248</v>
      </c>
      <c r="G55" s="1154"/>
      <c r="H55" s="1154"/>
      <c r="I55" s="88"/>
      <c r="J55" s="800" t="s">
        <v>1096</v>
      </c>
      <c r="K55" s="801" t="s">
        <v>15</v>
      </c>
      <c r="L55" s="1086"/>
      <c r="M55" s="802" t="s">
        <v>1053</v>
      </c>
      <c r="N55" s="803"/>
      <c r="O55" s="791"/>
      <c r="P55" s="792"/>
      <c r="Q55" s="792"/>
      <c r="R55" s="793"/>
      <c r="S55" s="1902"/>
      <c r="T55" s="794"/>
      <c r="U55" s="794"/>
      <c r="V55" s="540"/>
      <c r="W55" s="538"/>
    </row>
    <row r="56" spans="1:23" ht="34.700000000000003" customHeight="1">
      <c r="A56" s="1"/>
      <c r="B56" s="1192" t="s">
        <v>9</v>
      </c>
      <c r="C56" s="1192">
        <v>8</v>
      </c>
      <c r="D56" s="64"/>
      <c r="E56" s="817" t="s">
        <v>45</v>
      </c>
      <c r="F56" s="1151" t="s">
        <v>1120</v>
      </c>
      <c r="G56" s="1151"/>
      <c r="H56" s="1151"/>
      <c r="I56" s="88"/>
      <c r="J56" s="824" t="s">
        <v>44</v>
      </c>
      <c r="K56" s="1051" t="s">
        <v>45</v>
      </c>
      <c r="L56" s="1070"/>
      <c r="M56" s="822" t="s">
        <v>24</v>
      </c>
      <c r="N56" s="823"/>
      <c r="O56" s="1057"/>
      <c r="P56" s="1058"/>
      <c r="Q56" s="1058"/>
      <c r="R56" s="814"/>
      <c r="S56" s="1900"/>
      <c r="T56" s="1059"/>
      <c r="U56" s="1059"/>
      <c r="V56" s="540"/>
      <c r="W56" s="538"/>
    </row>
    <row r="57" spans="1:23" ht="34.700000000000003" customHeight="1">
      <c r="A57" s="1"/>
      <c r="B57" s="2280" t="s">
        <v>646</v>
      </c>
      <c r="C57" s="2281"/>
      <c r="D57" s="64"/>
      <c r="E57" s="1174" t="s">
        <v>11</v>
      </c>
      <c r="F57" s="1154" t="s">
        <v>1053</v>
      </c>
      <c r="G57" s="1154"/>
      <c r="H57" s="1154"/>
      <c r="I57" s="88"/>
      <c r="J57" s="800" t="s">
        <v>739</v>
      </c>
      <c r="K57" s="1067" t="s">
        <v>11</v>
      </c>
      <c r="L57" s="1070"/>
      <c r="M57" s="1061" t="s">
        <v>17</v>
      </c>
      <c r="N57" s="823"/>
      <c r="O57" s="791"/>
      <c r="P57" s="792"/>
      <c r="Q57" s="792"/>
      <c r="R57" s="793"/>
      <c r="S57" s="1902"/>
      <c r="T57" s="794"/>
      <c r="U57" s="794"/>
      <c r="V57" s="540"/>
      <c r="W57" s="538"/>
    </row>
    <row r="58" spans="1:23" ht="34.700000000000003" customHeight="1">
      <c r="A58" s="1"/>
      <c r="B58" s="1192" t="s">
        <v>9</v>
      </c>
      <c r="C58" s="1192">
        <v>3</v>
      </c>
      <c r="D58" s="64"/>
      <c r="E58" s="808" t="s">
        <v>11</v>
      </c>
      <c r="F58" s="1151" t="s">
        <v>1053</v>
      </c>
      <c r="G58" s="1151"/>
      <c r="H58" s="1151"/>
      <c r="I58" s="88"/>
      <c r="J58" s="824" t="s">
        <v>1090</v>
      </c>
      <c r="K58" s="1051"/>
      <c r="L58" s="1070"/>
      <c r="M58" s="809"/>
      <c r="N58" s="823"/>
      <c r="O58" s="811"/>
      <c r="P58" s="812"/>
      <c r="Q58" s="813"/>
      <c r="R58" s="814"/>
      <c r="S58" s="1903"/>
      <c r="T58" s="815"/>
      <c r="U58" s="816"/>
      <c r="V58" s="540"/>
      <c r="W58" s="538"/>
    </row>
    <row r="59" spans="1:23" ht="34.700000000000003" customHeight="1">
      <c r="A59" s="1"/>
      <c r="B59" s="2280" t="s">
        <v>742</v>
      </c>
      <c r="C59" s="2281"/>
      <c r="D59" s="64"/>
      <c r="E59" s="1177" t="s">
        <v>46</v>
      </c>
      <c r="F59" s="1154" t="s">
        <v>1120</v>
      </c>
      <c r="G59" s="1154"/>
      <c r="H59" s="1154"/>
      <c r="I59" s="88"/>
      <c r="J59" s="800" t="s">
        <v>551</v>
      </c>
      <c r="K59" s="801" t="s">
        <v>46</v>
      </c>
      <c r="L59" s="1086"/>
      <c r="M59" s="802" t="s">
        <v>9</v>
      </c>
      <c r="N59" s="803"/>
      <c r="O59" s="791"/>
      <c r="P59" s="792"/>
      <c r="Q59" s="792"/>
      <c r="R59" s="793"/>
      <c r="S59" s="1902"/>
      <c r="T59" s="794"/>
      <c r="U59" s="794"/>
      <c r="V59" s="540"/>
      <c r="W59" s="538"/>
    </row>
    <row r="60" spans="1:23" ht="34.700000000000003" customHeight="1">
      <c r="A60" s="1"/>
      <c r="B60" s="825" t="s">
        <v>9</v>
      </c>
      <c r="C60" s="825">
        <v>5</v>
      </c>
      <c r="D60" s="64"/>
      <c r="E60" s="808" t="s">
        <v>11</v>
      </c>
      <c r="F60" s="1151" t="s">
        <v>1053</v>
      </c>
      <c r="G60" s="1151"/>
      <c r="H60" s="1151"/>
      <c r="I60" s="88"/>
      <c r="J60" s="824" t="s">
        <v>526</v>
      </c>
      <c r="K60" s="821" t="s">
        <v>11</v>
      </c>
      <c r="L60" s="1070"/>
      <c r="M60" s="822" t="s">
        <v>39</v>
      </c>
      <c r="N60" s="823"/>
      <c r="O60" s="811"/>
      <c r="P60" s="812"/>
      <c r="Q60" s="813"/>
      <c r="R60" s="814"/>
      <c r="S60" s="1903"/>
      <c r="T60" s="815"/>
      <c r="U60" s="816"/>
      <c r="V60" s="540"/>
      <c r="W60" s="538"/>
    </row>
    <row r="61" spans="1:23" ht="34.700000000000003" customHeight="1">
      <c r="A61" s="1"/>
      <c r="B61" s="2280" t="s">
        <v>646</v>
      </c>
      <c r="C61" s="2281"/>
      <c r="D61" s="64"/>
      <c r="E61" s="1177" t="s">
        <v>411</v>
      </c>
      <c r="F61" s="1154" t="s">
        <v>1053</v>
      </c>
      <c r="G61" s="1154"/>
      <c r="H61" s="1154"/>
      <c r="I61" s="88"/>
      <c r="J61" s="800" t="s">
        <v>535</v>
      </c>
      <c r="K61" s="801" t="s">
        <v>411</v>
      </c>
      <c r="L61" s="1086"/>
      <c r="M61" s="802" t="s">
        <v>17</v>
      </c>
      <c r="N61" s="803"/>
      <c r="O61" s="791"/>
      <c r="P61" s="792"/>
      <c r="Q61" s="792"/>
      <c r="R61" s="793"/>
      <c r="S61" s="1902"/>
      <c r="T61" s="794"/>
      <c r="U61" s="794"/>
      <c r="V61" s="540"/>
      <c r="W61" s="538"/>
    </row>
    <row r="62" spans="1:23" ht="34.700000000000003" customHeight="1" thickBot="1">
      <c r="A62" s="1"/>
      <c r="B62" s="1193" t="s">
        <v>9</v>
      </c>
      <c r="C62" s="1193">
        <v>6</v>
      </c>
      <c r="D62" s="64"/>
      <c r="E62" s="808" t="s">
        <v>15</v>
      </c>
      <c r="F62" s="1151" t="s">
        <v>1053</v>
      </c>
      <c r="G62" s="1151"/>
      <c r="H62" s="1151"/>
      <c r="I62" s="88"/>
      <c r="J62" s="1165" t="s">
        <v>536</v>
      </c>
      <c r="K62" s="821" t="s">
        <v>11</v>
      </c>
      <c r="L62" s="1070"/>
      <c r="M62" s="822" t="s">
        <v>39</v>
      </c>
      <c r="N62" s="1196"/>
      <c r="O62" s="1197"/>
      <c r="P62" s="815"/>
      <c r="Q62" s="816"/>
      <c r="R62" s="1198"/>
      <c r="S62" s="1904"/>
      <c r="T62" s="815"/>
      <c r="U62" s="816"/>
      <c r="V62" s="540"/>
      <c r="W62" s="538"/>
    </row>
    <row r="63" spans="1:23" ht="34.700000000000003" customHeight="1">
      <c r="A63" s="1"/>
      <c r="B63" s="365"/>
      <c r="C63" s="365"/>
      <c r="D63" s="365"/>
      <c r="E63" s="365"/>
      <c r="F63" s="365"/>
      <c r="G63" s="365"/>
      <c r="H63" s="365"/>
      <c r="I63" s="88"/>
      <c r="J63" s="365"/>
      <c r="V63" s="540"/>
      <c r="W63" s="538"/>
    </row>
    <row r="64" spans="1:23" ht="34.700000000000003" customHeight="1">
      <c r="A64" s="1"/>
      <c r="B64" s="2293" t="s">
        <v>1132</v>
      </c>
      <c r="C64" s="2293"/>
      <c r="E64" s="1214" t="s">
        <v>1127</v>
      </c>
      <c r="F64" s="1151" t="s">
        <v>768</v>
      </c>
      <c r="G64" s="1151"/>
      <c r="H64" s="1194"/>
      <c r="I64" s="88"/>
      <c r="J64" s="1161" t="s">
        <v>1145</v>
      </c>
      <c r="K64" s="1164"/>
      <c r="V64" s="540"/>
      <c r="W64" s="538"/>
    </row>
    <row r="65" spans="1:42" ht="34.700000000000003" customHeight="1">
      <c r="A65" s="1"/>
      <c r="B65" s="2293"/>
      <c r="C65" s="2293"/>
      <c r="E65" s="1211" t="s">
        <v>1147</v>
      </c>
      <c r="F65" s="1154" t="s">
        <v>768</v>
      </c>
      <c r="G65" s="1154"/>
      <c r="H65" s="1199"/>
      <c r="I65" s="88"/>
      <c r="J65" s="1200" t="s">
        <v>1139</v>
      </c>
      <c r="K65" s="1212"/>
      <c r="V65" s="540"/>
      <c r="W65" s="538"/>
    </row>
    <row r="66" spans="1:42" ht="34.700000000000003" customHeight="1">
      <c r="A66" s="1"/>
      <c r="B66" s="2293"/>
      <c r="C66" s="2293"/>
      <c r="E66" s="1163" t="s">
        <v>1127</v>
      </c>
      <c r="F66" s="1151" t="s">
        <v>768</v>
      </c>
      <c r="G66" s="1151"/>
      <c r="H66" s="1194"/>
      <c r="I66" s="88"/>
      <c r="J66" s="1161" t="s">
        <v>1143</v>
      </c>
      <c r="K66" s="1164"/>
      <c r="V66" s="540"/>
      <c r="W66" s="538"/>
    </row>
    <row r="67" spans="1:42" ht="34.700000000000003" customHeight="1">
      <c r="A67" s="1"/>
      <c r="B67" s="2293"/>
      <c r="C67" s="2293"/>
      <c r="E67" s="1210" t="s">
        <v>1127</v>
      </c>
      <c r="F67" s="1154" t="s">
        <v>768</v>
      </c>
      <c r="G67" s="1154"/>
      <c r="H67" s="1199"/>
      <c r="I67" s="88"/>
      <c r="J67" s="1200" t="s">
        <v>1142</v>
      </c>
      <c r="K67" s="1212"/>
      <c r="V67" s="540"/>
      <c r="W67" s="538"/>
    </row>
    <row r="68" spans="1:42" ht="34.700000000000003" customHeight="1">
      <c r="A68" s="1"/>
      <c r="B68" s="2293"/>
      <c r="C68" s="2293"/>
      <c r="E68" s="1163" t="s">
        <v>1127</v>
      </c>
      <c r="F68" s="1151" t="s">
        <v>768</v>
      </c>
      <c r="G68" s="1151"/>
      <c r="H68" s="1194"/>
      <c r="I68" s="88"/>
      <c r="J68" s="1161" t="s">
        <v>1144</v>
      </c>
      <c r="K68" s="1164"/>
      <c r="V68" s="540"/>
      <c r="W68" s="538"/>
    </row>
    <row r="69" spans="1:42" ht="34.700000000000003" customHeight="1">
      <c r="A69" s="1"/>
      <c r="B69" s="2293"/>
      <c r="C69" s="2293"/>
      <c r="E69" s="1211" t="s">
        <v>1147</v>
      </c>
      <c r="F69" s="1154" t="s">
        <v>768</v>
      </c>
      <c r="G69" s="1154"/>
      <c r="H69" s="1199"/>
      <c r="I69" s="88"/>
      <c r="J69" s="1200" t="s">
        <v>1146</v>
      </c>
      <c r="K69" s="1212"/>
      <c r="O69" s="2282" t="s">
        <v>1128</v>
      </c>
      <c r="P69" s="2283"/>
      <c r="Q69" s="2283"/>
      <c r="R69" s="2283"/>
      <c r="S69" s="2283"/>
      <c r="T69" s="2283"/>
      <c r="U69" s="2284"/>
      <c r="V69" s="540"/>
      <c r="W69" s="538"/>
    </row>
    <row r="70" spans="1:42" ht="34.700000000000003" customHeight="1">
      <c r="A70" s="1"/>
      <c r="B70" s="2293"/>
      <c r="C70" s="2293"/>
      <c r="E70" s="1163" t="s">
        <v>1125</v>
      </c>
      <c r="F70" s="1151" t="s">
        <v>1120</v>
      </c>
      <c r="G70" s="1151"/>
      <c r="H70" s="1194"/>
      <c r="I70" s="88"/>
      <c r="J70" s="1161" t="s">
        <v>1141</v>
      </c>
      <c r="K70" s="1164"/>
      <c r="L70" s="1157"/>
      <c r="M70" s="1157"/>
      <c r="N70" s="1157"/>
      <c r="O70" s="2285"/>
      <c r="P70" s="2286"/>
      <c r="Q70" s="2286"/>
      <c r="R70" s="2286"/>
      <c r="S70" s="2286"/>
      <c r="T70" s="2286"/>
      <c r="U70" s="2287"/>
      <c r="V70" s="540"/>
      <c r="W70" s="538"/>
    </row>
    <row r="71" spans="1:42" ht="34.700000000000003" customHeight="1">
      <c r="A71" s="1"/>
      <c r="B71" s="2293"/>
      <c r="C71" s="2293"/>
      <c r="E71" s="1211" t="s">
        <v>1125</v>
      </c>
      <c r="F71" s="1154" t="s">
        <v>1120</v>
      </c>
      <c r="G71" s="1154"/>
      <c r="H71" s="1199"/>
      <c r="I71" s="88"/>
      <c r="J71" s="1200" t="s">
        <v>1140</v>
      </c>
      <c r="K71" s="1212"/>
      <c r="L71" s="1157"/>
      <c r="O71"/>
      <c r="V71" s="540"/>
      <c r="W71" s="538"/>
    </row>
    <row r="72" spans="1:42" ht="34.700000000000003" customHeight="1">
      <c r="A72" s="1"/>
      <c r="B72" s="2293"/>
      <c r="C72" s="2293"/>
      <c r="E72" s="1214" t="s">
        <v>1126</v>
      </c>
      <c r="F72" s="1151" t="s">
        <v>1120</v>
      </c>
      <c r="G72" s="1151"/>
      <c r="H72" s="1194"/>
      <c r="I72" s="88"/>
      <c r="J72" s="1161" t="s">
        <v>1129</v>
      </c>
      <c r="K72" s="1164"/>
      <c r="L72" s="1162"/>
      <c r="O72"/>
      <c r="V72" s="540"/>
      <c r="W72" s="538"/>
    </row>
    <row r="73" spans="1:42" ht="33.75">
      <c r="A73" s="40"/>
      <c r="B73" s="2293"/>
      <c r="C73" s="2293"/>
      <c r="E73" s="1211" t="s">
        <v>11</v>
      </c>
      <c r="F73" s="1154" t="s">
        <v>1120</v>
      </c>
      <c r="G73" s="1154"/>
      <c r="H73" s="1199"/>
      <c r="I73" s="88"/>
      <c r="J73" s="1200" t="s">
        <v>1130</v>
      </c>
      <c r="K73" s="1213"/>
      <c r="L73" s="1162"/>
      <c r="M73" s="40"/>
      <c r="N73" s="540"/>
      <c r="O73" s="540"/>
      <c r="P73" s="540"/>
      <c r="Q73" s="540"/>
      <c r="R73" s="540"/>
      <c r="S73" s="540"/>
      <c r="T73" s="540"/>
      <c r="V73" s="540"/>
      <c r="W73" s="538"/>
    </row>
    <row r="74" spans="1:42" ht="33.75">
      <c r="A74" s="1"/>
      <c r="B74" s="2293"/>
      <c r="C74" s="2293"/>
      <c r="E74" s="1215" t="s">
        <v>15</v>
      </c>
      <c r="F74" s="1151" t="s">
        <v>1120</v>
      </c>
      <c r="G74" s="1151"/>
      <c r="H74" s="1194"/>
      <c r="I74" s="88"/>
      <c r="J74" s="1161" t="s">
        <v>1131</v>
      </c>
      <c r="K74" s="1166"/>
      <c r="L74" s="1162"/>
      <c r="M74" s="40"/>
      <c r="N74" s="540"/>
      <c r="O74" s="540"/>
      <c r="P74" s="540"/>
      <c r="Q74" s="540"/>
      <c r="R74" s="540"/>
      <c r="S74" s="540"/>
      <c r="T74" s="540"/>
      <c r="V74" s="538"/>
    </row>
    <row r="75" spans="1:42" ht="18.75" customHeight="1">
      <c r="A75" s="1"/>
      <c r="B75" s="339"/>
      <c r="C75" s="214"/>
      <c r="D75" s="64"/>
      <c r="E75" s="64"/>
      <c r="F75" s="365"/>
      <c r="G75" s="365"/>
      <c r="H75" s="365"/>
      <c r="I75" s="88"/>
      <c r="J75" s="365"/>
      <c r="K75" s="365"/>
      <c r="L75" s="64"/>
      <c r="M75" s="88"/>
      <c r="N75" s="78"/>
      <c r="O75" s="545"/>
      <c r="P75" s="538"/>
      <c r="Q75" s="538"/>
      <c r="R75" s="545"/>
      <c r="S75" s="545"/>
      <c r="T75" s="545"/>
      <c r="U75" s="545"/>
    </row>
    <row r="76" spans="1:42" ht="18.75" customHeight="1">
      <c r="B76" s="2276" t="s">
        <v>725</v>
      </c>
      <c r="C76" s="2276"/>
      <c r="D76" s="2276"/>
      <c r="E76" s="2276"/>
      <c r="F76" s="2276"/>
      <c r="G76" s="2276"/>
      <c r="H76" s="2276"/>
      <c r="I76" s="2276"/>
      <c r="J76" s="2276"/>
      <c r="K76" s="2276"/>
      <c r="L76" s="2276"/>
      <c r="M76" s="2276"/>
      <c r="N76" s="78"/>
      <c r="O76" s="546"/>
      <c r="P76" s="547" t="s">
        <v>47</v>
      </c>
      <c r="Q76" s="548"/>
      <c r="R76" s="545"/>
      <c r="S76" s="546"/>
      <c r="T76" s="547" t="s">
        <v>47</v>
      </c>
      <c r="U76" s="549"/>
      <c r="V76" s="538"/>
    </row>
    <row r="77" spans="1:42" ht="18.75" customHeight="1">
      <c r="A77" s="1"/>
      <c r="B77" s="2276"/>
      <c r="C77" s="2276"/>
      <c r="D77" s="2276"/>
      <c r="E77" s="2276"/>
      <c r="F77" s="2276"/>
      <c r="G77" s="2276"/>
      <c r="H77" s="2276"/>
      <c r="I77" s="2276"/>
      <c r="J77" s="2276"/>
      <c r="K77" s="2276"/>
      <c r="L77" s="2276"/>
      <c r="M77" s="2276"/>
      <c r="N77" s="78"/>
      <c r="O77" s="550"/>
      <c r="P77" s="551" t="s">
        <v>48</v>
      </c>
      <c r="Q77" s="552"/>
      <c r="R77" s="545"/>
      <c r="S77" s="550"/>
      <c r="T77" s="551" t="s">
        <v>48</v>
      </c>
      <c r="U77" s="553"/>
    </row>
    <row r="78" spans="1:42" s="4" customFormat="1" ht="27.75" customHeight="1">
      <c r="B78" s="2288" t="s">
        <v>641</v>
      </c>
      <c r="C78" s="2288"/>
      <c r="D78" s="2288"/>
      <c r="E78" s="2288"/>
      <c r="F78" s="2288"/>
      <c r="G78" s="2288"/>
      <c r="H78" s="2288"/>
      <c r="I78" s="2288"/>
      <c r="J78" s="2288"/>
      <c r="K78" s="2288"/>
      <c r="L78" s="2288"/>
      <c r="M78" s="2288"/>
      <c r="N78" s="78"/>
      <c r="O78" s="554"/>
      <c r="P78" s="555"/>
      <c r="Q78" s="556"/>
      <c r="R78" s="545"/>
      <c r="S78" s="554"/>
      <c r="T78" s="555"/>
      <c r="U78" s="556"/>
      <c r="V78" s="538"/>
      <c r="W78" s="538"/>
      <c r="X78" s="538"/>
      <c r="Y78" s="538"/>
      <c r="Z78" s="538"/>
      <c r="AA78" s="538"/>
      <c r="AB78" s="538"/>
      <c r="AC78" s="538"/>
      <c r="AD78" s="538"/>
      <c r="AE78" s="538"/>
      <c r="AF78" s="538"/>
      <c r="AG78" s="538"/>
      <c r="AH78" s="538"/>
      <c r="AI78" s="538"/>
      <c r="AJ78" s="538"/>
      <c r="AK78" s="538"/>
      <c r="AL78" s="538"/>
      <c r="AM78" s="538"/>
      <c r="AN78" s="538"/>
      <c r="AO78" s="538"/>
      <c r="AP78" s="538"/>
    </row>
    <row r="79" spans="1:42" s="4" customFormat="1" ht="27.75" customHeight="1">
      <c r="A79" s="1"/>
      <c r="B79" s="2288"/>
      <c r="C79" s="2288"/>
      <c r="D79" s="2288"/>
      <c r="E79" s="2288"/>
      <c r="F79" s="2288"/>
      <c r="G79" s="2288"/>
      <c r="H79" s="2288"/>
      <c r="I79" s="2288"/>
      <c r="J79" s="2288"/>
      <c r="K79" s="2288"/>
      <c r="L79" s="2288"/>
      <c r="M79" s="2288"/>
      <c r="N79" s="78"/>
      <c r="O79" s="557"/>
      <c r="P79" s="540"/>
      <c r="Q79" s="558"/>
      <c r="R79" s="545"/>
      <c r="S79" s="557"/>
      <c r="T79" s="540"/>
      <c r="U79" s="558"/>
      <c r="V79" s="538"/>
      <c r="W79" s="538"/>
      <c r="X79" s="538"/>
      <c r="Y79" s="538"/>
      <c r="Z79" s="538"/>
      <c r="AA79" s="538"/>
      <c r="AB79" s="538"/>
      <c r="AC79" s="538"/>
      <c r="AD79" s="538"/>
      <c r="AE79" s="538"/>
      <c r="AF79" s="538"/>
      <c r="AG79" s="538"/>
      <c r="AH79" s="538"/>
      <c r="AI79" s="538"/>
      <c r="AJ79" s="538"/>
      <c r="AK79" s="538"/>
      <c r="AL79" s="538"/>
      <c r="AM79" s="538"/>
      <c r="AN79" s="538"/>
      <c r="AO79" s="538"/>
      <c r="AP79" s="538"/>
    </row>
    <row r="80" spans="1:42" s="4" customFormat="1" ht="27.75" customHeight="1">
      <c r="A80" s="1"/>
      <c r="B80" s="1203"/>
      <c r="C80" s="1204"/>
      <c r="D80" s="1204"/>
      <c r="E80" s="1204"/>
      <c r="F80" s="1204"/>
      <c r="G80" s="1204"/>
      <c r="H80" s="1204"/>
      <c r="I80" s="88"/>
      <c r="J80" s="1204"/>
      <c r="K80" s="478"/>
      <c r="L80" s="361"/>
      <c r="M80" s="1202"/>
      <c r="N80" s="78"/>
      <c r="O80" s="557"/>
      <c r="P80" s="540"/>
      <c r="Q80" s="558"/>
      <c r="R80" s="545"/>
      <c r="S80" s="557"/>
      <c r="T80" s="540"/>
      <c r="U80" s="558"/>
      <c r="V80" s="538"/>
      <c r="W80" s="538"/>
      <c r="X80" s="538"/>
      <c r="Y80" s="538"/>
      <c r="Z80" s="538"/>
      <c r="AA80" s="538"/>
      <c r="AB80" s="538"/>
      <c r="AC80" s="538"/>
      <c r="AD80" s="538"/>
      <c r="AE80" s="538"/>
      <c r="AF80" s="538"/>
      <c r="AG80" s="538"/>
      <c r="AH80" s="538"/>
      <c r="AI80" s="538"/>
      <c r="AJ80" s="538"/>
      <c r="AK80" s="538"/>
      <c r="AL80" s="538"/>
      <c r="AM80" s="538"/>
      <c r="AN80" s="538"/>
      <c r="AO80" s="538"/>
      <c r="AP80" s="538"/>
    </row>
    <row r="81" spans="1:42" s="4" customFormat="1" ht="27.75" customHeight="1">
      <c r="A81" s="1"/>
      <c r="B81" s="2292" t="str">
        <f>"-  AGREGAR LO DE MINUTA DE COLACIÓN"</f>
        <v>-  AGREGAR LO DE MINUTA DE COLACIÓN</v>
      </c>
      <c r="C81" s="2292"/>
      <c r="D81" s="2292"/>
      <c r="E81" s="2292"/>
      <c r="F81" s="2292"/>
      <c r="G81" s="2292"/>
      <c r="H81" s="2292"/>
      <c r="I81" s="2292"/>
      <c r="J81" s="2292"/>
      <c r="K81" s="2292"/>
      <c r="L81" s="361"/>
      <c r="M81" s="362"/>
      <c r="N81" s="362"/>
      <c r="O81" s="557"/>
      <c r="P81" s="540"/>
      <c r="Q81" s="558"/>
      <c r="R81" s="545"/>
      <c r="S81" s="557"/>
      <c r="T81" s="540"/>
      <c r="U81" s="558"/>
      <c r="V81" s="538"/>
      <c r="W81" s="538"/>
      <c r="X81" s="538"/>
      <c r="Y81" s="538"/>
      <c r="Z81" s="538"/>
      <c r="AA81" s="538"/>
      <c r="AB81" s="538"/>
      <c r="AC81" s="538"/>
      <c r="AD81" s="538"/>
      <c r="AE81" s="538"/>
      <c r="AF81" s="538"/>
      <c r="AG81" s="538"/>
      <c r="AH81" s="538"/>
      <c r="AI81" s="538"/>
      <c r="AJ81" s="538"/>
      <c r="AK81" s="538"/>
      <c r="AL81" s="538"/>
      <c r="AM81" s="538"/>
      <c r="AN81" s="538"/>
      <c r="AO81" s="538"/>
      <c r="AP81" s="538"/>
    </row>
    <row r="82" spans="1:42" ht="15.75" customHeight="1">
      <c r="A82" s="1"/>
      <c r="B82" s="2292"/>
      <c r="C82" s="2292"/>
      <c r="D82" s="2292"/>
      <c r="E82" s="2292"/>
      <c r="F82" s="2292"/>
      <c r="G82" s="2292"/>
      <c r="H82" s="2292"/>
      <c r="I82" s="2292"/>
      <c r="J82" s="2292"/>
      <c r="K82" s="2292"/>
      <c r="L82" s="361"/>
      <c r="M82" s="362"/>
      <c r="N82" s="362"/>
      <c r="O82" s="557"/>
      <c r="P82" s="540"/>
      <c r="Q82" s="558"/>
      <c r="R82" s="545"/>
      <c r="S82" s="557"/>
      <c r="T82" s="540"/>
      <c r="U82" s="558"/>
    </row>
    <row r="83" spans="1:42" ht="15.75" customHeight="1">
      <c r="A83" s="1"/>
      <c r="B83" s="2294" t="s">
        <v>645</v>
      </c>
      <c r="C83" s="2295"/>
      <c r="D83" s="2295"/>
      <c r="E83" s="2295"/>
      <c r="F83" s="2295"/>
      <c r="G83" s="2295"/>
      <c r="H83" s="2295"/>
      <c r="I83" s="2295"/>
      <c r="J83" s="2295"/>
      <c r="K83" s="2296"/>
      <c r="L83" s="361"/>
      <c r="M83" s="362"/>
      <c r="N83" s="78"/>
      <c r="O83" s="557"/>
      <c r="P83" s="540"/>
      <c r="Q83" s="558"/>
      <c r="R83" s="545"/>
      <c r="S83" s="557"/>
      <c r="T83" s="540"/>
      <c r="U83" s="558"/>
    </row>
    <row r="84" spans="1:42" ht="21.75" customHeight="1">
      <c r="A84" s="1"/>
      <c r="B84" s="2297"/>
      <c r="C84" s="2298"/>
      <c r="D84" s="2298"/>
      <c r="E84" s="2298"/>
      <c r="F84" s="2298"/>
      <c r="G84" s="2298"/>
      <c r="H84" s="2298"/>
      <c r="I84" s="2298"/>
      <c r="J84" s="2298"/>
      <c r="K84" s="2299"/>
      <c r="L84" s="361"/>
      <c r="M84" s="362"/>
      <c r="N84" s="78"/>
      <c r="O84" s="557"/>
      <c r="P84" s="540"/>
      <c r="Q84" s="558"/>
      <c r="R84" s="545"/>
      <c r="S84" s="557"/>
      <c r="T84" s="540"/>
      <c r="U84" s="558"/>
    </row>
    <row r="85" spans="1:42" ht="29.25" customHeight="1">
      <c r="A85" s="1"/>
      <c r="B85" s="1814" t="s">
        <v>1382</v>
      </c>
      <c r="C85" s="1813"/>
      <c r="D85" s="1205"/>
      <c r="E85" s="1206" t="s">
        <v>1378</v>
      </c>
      <c r="F85" s="1206"/>
      <c r="G85" s="1206"/>
      <c r="H85" s="1206"/>
      <c r="I85" s="1199"/>
      <c r="J85" s="1206"/>
      <c r="K85" s="1206"/>
      <c r="L85" s="360"/>
      <c r="M85" s="195"/>
      <c r="N85" s="4"/>
      <c r="O85" s="557"/>
      <c r="P85" s="540"/>
      <c r="Q85" s="558"/>
      <c r="R85" s="545"/>
      <c r="S85" s="557"/>
      <c r="T85" s="540"/>
      <c r="U85" s="558"/>
    </row>
    <row r="86" spans="1:42" ht="29.25" customHeight="1">
      <c r="A86" s="1"/>
      <c r="B86" s="500" t="s">
        <v>1383</v>
      </c>
      <c r="C86" s="899"/>
      <c r="D86" s="1207"/>
      <c r="E86" s="1206" t="s">
        <v>1378</v>
      </c>
      <c r="F86" s="1206"/>
      <c r="G86" s="1206"/>
      <c r="H86" s="1206"/>
      <c r="I86" s="1199"/>
      <c r="J86" s="1206"/>
      <c r="K86" s="1208"/>
      <c r="L86" s="194"/>
      <c r="M86" s="195"/>
      <c r="N86" s="4"/>
      <c r="O86" s="557"/>
      <c r="P86" s="540"/>
      <c r="Q86" s="558"/>
      <c r="R86" s="545"/>
      <c r="S86" s="557"/>
      <c r="T86" s="540"/>
      <c r="U86" s="558"/>
    </row>
    <row r="87" spans="1:42" ht="29.25" customHeight="1">
      <c r="A87" s="1"/>
      <c r="B87" s="501" t="s">
        <v>1384</v>
      </c>
      <c r="C87" s="900"/>
      <c r="D87" s="238"/>
      <c r="E87" s="1206" t="s">
        <v>1379</v>
      </c>
      <c r="F87" s="1206"/>
      <c r="G87" s="1206"/>
      <c r="H87" s="1206"/>
      <c r="I87" s="1199"/>
      <c r="J87" s="1206"/>
      <c r="K87" s="1208"/>
      <c r="L87" s="194"/>
      <c r="M87" s="195"/>
      <c r="N87" s="4"/>
      <c r="O87" s="557"/>
      <c r="P87" s="540"/>
      <c r="Q87" s="558"/>
      <c r="R87" s="545"/>
      <c r="S87" s="557"/>
      <c r="T87" s="540"/>
      <c r="U87" s="558"/>
    </row>
    <row r="88" spans="1:42" ht="29.25" customHeight="1">
      <c r="A88" s="1"/>
      <c r="B88" s="904" t="s">
        <v>1385</v>
      </c>
      <c r="C88" s="905"/>
      <c r="D88" s="238"/>
      <c r="E88" s="1206" t="s">
        <v>1380</v>
      </c>
      <c r="F88" s="1206"/>
      <c r="G88" s="1206"/>
      <c r="H88" s="1206"/>
      <c r="I88" s="1199"/>
      <c r="J88" s="1206"/>
      <c r="K88" s="1208"/>
      <c r="L88" s="194"/>
      <c r="M88" s="195"/>
      <c r="N88" s="4"/>
      <c r="O88" s="557"/>
      <c r="P88" s="540"/>
      <c r="Q88" s="558"/>
      <c r="R88" s="545"/>
      <c r="S88" s="557"/>
      <c r="T88" s="540"/>
      <c r="U88" s="558"/>
    </row>
    <row r="89" spans="1:42" ht="21.75" customHeight="1">
      <c r="A89" s="1"/>
      <c r="B89" s="363"/>
      <c r="C89" s="901"/>
      <c r="D89" s="227"/>
      <c r="E89" s="1159"/>
      <c r="F89" s="1159"/>
      <c r="G89" s="1159"/>
      <c r="H89" s="1159"/>
      <c r="I89" s="1201"/>
      <c r="J89" s="227"/>
      <c r="K89" s="227"/>
      <c r="L89" s="227"/>
      <c r="M89" s="71"/>
      <c r="N89" s="4"/>
      <c r="O89" s="559"/>
      <c r="P89" s="560"/>
      <c r="Q89" s="561"/>
      <c r="R89" s="545"/>
      <c r="S89" s="559"/>
      <c r="T89" s="560"/>
      <c r="U89" s="561"/>
    </row>
    <row r="90" spans="1:42" ht="23.25" customHeight="1">
      <c r="A90" s="1"/>
      <c r="E90" s="1157"/>
      <c r="F90" s="1157"/>
      <c r="G90" s="1157"/>
      <c r="H90" s="1157"/>
      <c r="I90" s="88"/>
      <c r="N90" s="4"/>
      <c r="O90" s="538"/>
      <c r="P90" s="538"/>
      <c r="Q90" s="538"/>
      <c r="R90" s="545"/>
      <c r="S90" s="538"/>
      <c r="T90" s="538"/>
      <c r="U90" s="538"/>
      <c r="V90" s="545"/>
      <c r="W90" s="545"/>
      <c r="X90" s="545"/>
    </row>
    <row r="91" spans="1:42" ht="16.149999999999999" customHeight="1">
      <c r="A91" s="1"/>
      <c r="B91" s="2300" t="s">
        <v>327</v>
      </c>
      <c r="C91" s="2301"/>
      <c r="D91" s="2301"/>
      <c r="E91" s="2301"/>
      <c r="F91" s="2301"/>
      <c r="G91" s="2301"/>
      <c r="H91" s="2301"/>
      <c r="I91" s="2301"/>
      <c r="J91" s="2302"/>
      <c r="K91" s="2277"/>
      <c r="M91" s="2291"/>
      <c r="O91" s="2273" t="s">
        <v>1046</v>
      </c>
      <c r="P91" s="2273"/>
      <c r="Q91" s="2273"/>
      <c r="R91" s="2273"/>
      <c r="S91" s="2273"/>
      <c r="T91" s="2273"/>
      <c r="U91" s="2273"/>
      <c r="V91" s="545"/>
      <c r="W91" s="545"/>
      <c r="X91" s="545"/>
    </row>
    <row r="92" spans="1:42" ht="16.149999999999999" customHeight="1">
      <c r="A92" s="1"/>
      <c r="B92" s="2303"/>
      <c r="C92" s="2304"/>
      <c r="D92" s="2304"/>
      <c r="E92" s="2304"/>
      <c r="F92" s="2304"/>
      <c r="G92" s="2304"/>
      <c r="H92" s="2304"/>
      <c r="I92" s="2304"/>
      <c r="J92" s="2305"/>
      <c r="K92" s="2278"/>
      <c r="M92" s="2291"/>
      <c r="O92" s="2273"/>
      <c r="P92" s="2273"/>
      <c r="Q92" s="2273"/>
      <c r="R92" s="2273"/>
      <c r="S92" s="2273"/>
      <c r="T92" s="2273"/>
      <c r="U92" s="2273"/>
      <c r="V92" s="545"/>
      <c r="W92" s="545"/>
      <c r="X92" s="545"/>
    </row>
    <row r="93" spans="1:42" ht="16.149999999999999" customHeight="1">
      <c r="A93" s="1"/>
      <c r="B93" s="2306"/>
      <c r="C93" s="2307"/>
      <c r="D93" s="2307"/>
      <c r="E93" s="2307"/>
      <c r="F93" s="2307"/>
      <c r="G93" s="2307"/>
      <c r="H93" s="2307"/>
      <c r="I93" s="2307"/>
      <c r="J93" s="2308"/>
      <c r="K93" s="2279"/>
      <c r="M93" s="2291"/>
      <c r="O93" s="2273"/>
      <c r="P93" s="2273"/>
      <c r="Q93" s="2273"/>
      <c r="R93" s="2273"/>
      <c r="S93" s="2273"/>
      <c r="T93" s="2273"/>
      <c r="U93" s="2273"/>
      <c r="V93" s="545"/>
      <c r="W93" s="545"/>
      <c r="X93" s="545"/>
    </row>
    <row r="94" spans="1:42" ht="16.149999999999999" customHeight="1">
      <c r="A94" s="1"/>
      <c r="E94" s="1157"/>
      <c r="F94" s="1157"/>
      <c r="G94" s="1157"/>
      <c r="H94" s="1157"/>
      <c r="I94" s="88"/>
      <c r="V94" s="545"/>
      <c r="W94" s="545"/>
      <c r="X94" s="545"/>
    </row>
    <row r="95" spans="1:42" ht="16.149999999999999" customHeight="1">
      <c r="A95" s="1"/>
      <c r="B95" s="1113"/>
      <c r="C95" s="1114"/>
      <c r="D95" s="1114"/>
      <c r="E95" s="1114"/>
      <c r="F95" s="1114"/>
      <c r="G95" s="1114"/>
      <c r="H95" s="1114"/>
      <c r="I95" s="1209"/>
      <c r="J95" s="1114"/>
      <c r="K95" s="1114"/>
      <c r="L95" s="1114"/>
      <c r="M95" s="1114"/>
      <c r="N95" s="1114"/>
      <c r="O95" s="1114"/>
      <c r="P95" s="1114"/>
      <c r="Q95" s="1114"/>
      <c r="R95" s="1114"/>
      <c r="S95" s="1114"/>
      <c r="T95" s="1114"/>
      <c r="U95" s="1115"/>
      <c r="V95" s="545"/>
      <c r="W95" s="545"/>
      <c r="X95" s="545"/>
    </row>
    <row r="96" spans="1:42" ht="16.149999999999999" customHeight="1">
      <c r="A96" s="1"/>
      <c r="B96" s="1116"/>
      <c r="C96" s="1117"/>
      <c r="D96" s="1117"/>
      <c r="E96" s="1117"/>
      <c r="F96" s="1117"/>
      <c r="G96" s="1117"/>
      <c r="H96" s="1117"/>
      <c r="I96" s="88"/>
      <c r="J96" s="1117"/>
      <c r="K96" s="1117"/>
      <c r="L96" s="1117"/>
      <c r="M96" s="1117"/>
      <c r="N96" s="1117"/>
      <c r="O96" s="1117"/>
      <c r="P96" s="1117"/>
      <c r="Q96" s="1117"/>
      <c r="R96" s="1117"/>
      <c r="S96" s="1117"/>
      <c r="T96" s="1117"/>
      <c r="U96" s="1118"/>
      <c r="V96" s="538"/>
      <c r="W96" s="538"/>
    </row>
    <row r="97" spans="1:23" ht="33.75">
      <c r="A97" s="1"/>
      <c r="B97" s="1116"/>
      <c r="C97" s="1117"/>
      <c r="D97" s="1117"/>
      <c r="E97" s="1117"/>
      <c r="F97" s="1117"/>
      <c r="G97" s="1117"/>
      <c r="H97" s="1117"/>
      <c r="I97" s="88"/>
      <c r="J97" s="1117"/>
      <c r="K97" s="1117"/>
      <c r="L97" s="1117"/>
      <c r="M97" s="1117"/>
      <c r="N97" s="1117"/>
      <c r="O97" s="1117"/>
      <c r="P97" s="1117"/>
      <c r="Q97" s="1117"/>
      <c r="R97" s="1117"/>
      <c r="S97" s="1117"/>
      <c r="T97" s="1117"/>
      <c r="U97" s="1118"/>
      <c r="V97" s="563"/>
      <c r="W97" s="563"/>
    </row>
    <row r="98" spans="1:23" ht="33.75">
      <c r="A98" s="1"/>
      <c r="B98" s="1116"/>
      <c r="C98" s="1117"/>
      <c r="D98" s="1117"/>
      <c r="E98" s="1117"/>
      <c r="F98" s="1117"/>
      <c r="G98" s="1117"/>
      <c r="H98" s="1117"/>
      <c r="I98" s="88"/>
      <c r="J98" s="1117"/>
      <c r="K98" s="1117"/>
      <c r="L98" s="1117"/>
      <c r="M98" s="1117"/>
      <c r="N98" s="1117"/>
      <c r="O98" s="1117"/>
      <c r="P98" s="1117"/>
      <c r="Q98" s="1117"/>
      <c r="R98" s="1117"/>
      <c r="S98" s="1117"/>
      <c r="T98" s="1117"/>
      <c r="U98" s="1118"/>
      <c r="V98" s="563"/>
      <c r="W98" s="563"/>
    </row>
    <row r="99" spans="1:23" ht="33.75">
      <c r="A99" s="1"/>
      <c r="B99" s="1116"/>
      <c r="C99" s="1117"/>
      <c r="D99" s="1117"/>
      <c r="E99" s="1117"/>
      <c r="F99" s="1117"/>
      <c r="G99" s="1117"/>
      <c r="H99" s="1117"/>
      <c r="I99" s="88"/>
      <c r="J99" s="1117"/>
      <c r="K99" s="1117"/>
      <c r="L99" s="1117"/>
      <c r="M99" s="1117"/>
      <c r="N99" s="1117"/>
      <c r="O99" s="1117"/>
      <c r="P99" s="1117"/>
      <c r="Q99" s="1117"/>
      <c r="R99" s="1117"/>
      <c r="S99" s="1117"/>
      <c r="T99" s="1117"/>
      <c r="U99" s="1118"/>
      <c r="V99" s="563"/>
      <c r="W99" s="563"/>
    </row>
    <row r="100" spans="1:23" ht="33.75">
      <c r="A100" s="1"/>
      <c r="B100" s="1116"/>
      <c r="C100" s="1117"/>
      <c r="D100" s="1117"/>
      <c r="E100" s="1117"/>
      <c r="F100" s="1117"/>
      <c r="G100" s="1117"/>
      <c r="H100" s="1117"/>
      <c r="I100" s="88"/>
      <c r="J100" s="1117"/>
      <c r="K100" s="1117"/>
      <c r="L100" s="1117"/>
      <c r="M100" s="1117"/>
      <c r="N100" s="1117"/>
      <c r="O100" s="1117"/>
      <c r="P100" s="1117"/>
      <c r="Q100" s="1117"/>
      <c r="R100" s="1117"/>
      <c r="S100" s="1117"/>
      <c r="T100" s="1117"/>
      <c r="U100" s="1118"/>
      <c r="V100" s="563"/>
      <c r="W100" s="563"/>
    </row>
    <row r="101" spans="1:23" ht="33.75">
      <c r="A101" s="1"/>
      <c r="B101" s="1116"/>
      <c r="C101" s="1117"/>
      <c r="D101" s="1117"/>
      <c r="E101" s="1117"/>
      <c r="F101" s="1117"/>
      <c r="G101" s="1117"/>
      <c r="H101" s="1117"/>
      <c r="I101" s="88"/>
      <c r="J101" s="1117"/>
      <c r="K101" s="1117"/>
      <c r="L101" s="1117"/>
      <c r="M101" s="1117"/>
      <c r="N101" s="1117"/>
      <c r="O101" s="1117"/>
      <c r="P101" s="1117"/>
      <c r="Q101" s="1117"/>
      <c r="R101" s="1117"/>
      <c r="S101" s="1117"/>
      <c r="T101" s="1117"/>
      <c r="U101" s="1118"/>
      <c r="V101" s="563"/>
      <c r="W101" s="563"/>
    </row>
    <row r="102" spans="1:23" ht="33.75">
      <c r="A102" s="1"/>
      <c r="B102" s="1116"/>
      <c r="C102" s="1117"/>
      <c r="D102" s="1117"/>
      <c r="E102" s="1117"/>
      <c r="F102" s="1117"/>
      <c r="G102" s="1117"/>
      <c r="H102" s="1117"/>
      <c r="I102" s="88"/>
      <c r="J102" s="1117"/>
      <c r="K102" s="1117"/>
      <c r="L102" s="1117"/>
      <c r="M102" s="1117"/>
      <c r="N102" s="1117"/>
      <c r="O102" s="1117"/>
      <c r="P102" s="1117"/>
      <c r="Q102" s="1117"/>
      <c r="R102" s="1117"/>
      <c r="S102" s="1117"/>
      <c r="T102" s="1117"/>
      <c r="U102" s="1118"/>
      <c r="V102" s="563"/>
      <c r="W102" s="563"/>
    </row>
    <row r="103" spans="1:23" ht="33.75">
      <c r="A103" s="1"/>
      <c r="B103" s="1119"/>
      <c r="C103" s="1120"/>
      <c r="D103" s="1120"/>
      <c r="E103" s="1120"/>
      <c r="F103" s="1120"/>
      <c r="G103" s="1120"/>
      <c r="H103" s="1120"/>
      <c r="I103" s="1201"/>
      <c r="J103" s="1120"/>
      <c r="K103" s="1120"/>
      <c r="L103" s="1120"/>
      <c r="M103" s="1120"/>
      <c r="N103" s="1120"/>
      <c r="O103" s="1120"/>
      <c r="P103" s="1120"/>
      <c r="Q103" s="1120"/>
      <c r="R103" s="1120"/>
      <c r="S103" s="1120"/>
      <c r="T103" s="1120"/>
      <c r="U103" s="1121"/>
      <c r="V103" s="563"/>
      <c r="W103" s="563"/>
    </row>
    <row r="104" spans="1:23" ht="15.75" customHeight="1">
      <c r="A104" s="1"/>
      <c r="B104" s="365"/>
      <c r="C104" s="903"/>
      <c r="D104" s="64"/>
      <c r="E104" s="1158"/>
      <c r="F104" s="1158"/>
      <c r="G104" s="1158"/>
      <c r="H104" s="1158"/>
      <c r="I104" s="88"/>
      <c r="J104" s="64"/>
      <c r="K104" s="64"/>
      <c r="L104" s="64"/>
      <c r="M104" s="64"/>
      <c r="N104" s="64"/>
      <c r="O104" s="563"/>
      <c r="P104" s="563"/>
      <c r="Q104" s="563"/>
      <c r="R104" s="563"/>
      <c r="S104" s="563"/>
      <c r="T104" s="563"/>
      <c r="U104" s="563"/>
      <c r="V104" s="563"/>
      <c r="W104" s="563"/>
    </row>
    <row r="105" spans="1:23" ht="15.75" customHeight="1">
      <c r="A105" s="1"/>
      <c r="B105" s="365"/>
      <c r="C105" s="903"/>
      <c r="D105" s="64"/>
      <c r="E105" s="1158"/>
      <c r="F105" s="1158"/>
      <c r="G105" s="1158"/>
      <c r="H105" s="1158"/>
      <c r="I105" s="88"/>
      <c r="J105" s="64"/>
      <c r="K105" s="64"/>
      <c r="L105" s="64"/>
      <c r="M105" s="64"/>
      <c r="N105" s="64"/>
      <c r="O105" s="563"/>
      <c r="P105" s="563"/>
      <c r="Q105" s="563"/>
      <c r="R105" s="563"/>
      <c r="S105" s="563"/>
      <c r="T105" s="563"/>
      <c r="U105" s="563"/>
      <c r="V105" s="563"/>
      <c r="W105" s="563"/>
    </row>
    <row r="106" spans="1:23" ht="15.75" customHeight="1">
      <c r="A106" s="1"/>
      <c r="B106" s="365"/>
      <c r="C106" s="903"/>
      <c r="D106" s="64"/>
      <c r="E106" s="1158"/>
      <c r="F106" s="1158"/>
      <c r="G106" s="1158"/>
      <c r="H106" s="1158"/>
      <c r="I106" s="88"/>
      <c r="J106" s="64"/>
      <c r="K106" s="64"/>
      <c r="L106" s="64"/>
      <c r="M106" s="64"/>
      <c r="N106" s="64"/>
      <c r="O106" s="563"/>
      <c r="P106" s="563"/>
      <c r="Q106" s="563"/>
      <c r="R106" s="563"/>
      <c r="S106" s="563"/>
      <c r="T106" s="563"/>
      <c r="U106" s="563"/>
      <c r="V106" s="563"/>
      <c r="W106" s="563"/>
    </row>
    <row r="107" spans="1:23" ht="15.75" customHeight="1">
      <c r="A107" s="1"/>
      <c r="B107" s="365"/>
      <c r="C107" s="903"/>
      <c r="D107" s="64"/>
      <c r="E107" s="1158"/>
      <c r="F107" s="1158"/>
      <c r="G107" s="1158"/>
      <c r="H107" s="1158"/>
      <c r="I107" s="88"/>
      <c r="J107" s="64"/>
      <c r="K107" s="64"/>
      <c r="L107" s="64"/>
      <c r="M107" s="64"/>
      <c r="N107" s="64"/>
      <c r="O107" s="563"/>
      <c r="P107" s="563"/>
      <c r="Q107" s="563"/>
      <c r="R107" s="563"/>
      <c r="S107" s="563"/>
      <c r="T107" s="563"/>
      <c r="U107" s="563"/>
      <c r="V107" s="538"/>
      <c r="W107" s="538"/>
    </row>
    <row r="108" spans="1:23" ht="15.75" customHeight="1">
      <c r="A108" s="1"/>
      <c r="B108" s="365"/>
      <c r="C108" s="903"/>
      <c r="D108" s="64"/>
      <c r="E108" s="1158"/>
      <c r="F108" s="1158"/>
      <c r="G108" s="1158"/>
      <c r="H108" s="1158"/>
      <c r="I108" s="88"/>
      <c r="J108" s="64"/>
      <c r="K108" s="64"/>
      <c r="L108" s="64"/>
      <c r="M108" s="64"/>
      <c r="N108" s="64"/>
      <c r="O108" s="563"/>
      <c r="P108" s="563"/>
      <c r="Q108" s="563"/>
      <c r="R108" s="563"/>
      <c r="S108" s="563"/>
      <c r="T108" s="563"/>
      <c r="U108" s="563"/>
      <c r="V108" s="538"/>
      <c r="W108" s="538"/>
    </row>
    <row r="109" spans="1:23" ht="15.75" customHeight="1">
      <c r="A109" s="1"/>
      <c r="B109" s="365"/>
      <c r="C109" s="903"/>
      <c r="D109" s="64"/>
      <c r="E109" s="1158"/>
      <c r="F109" s="1158"/>
      <c r="G109" s="1158"/>
      <c r="H109" s="1158"/>
      <c r="I109" s="88"/>
      <c r="J109" s="64"/>
      <c r="K109" s="64"/>
      <c r="L109" s="64"/>
      <c r="M109" s="64"/>
      <c r="N109" s="64"/>
      <c r="O109" s="563"/>
      <c r="P109" s="563"/>
      <c r="Q109" s="563"/>
      <c r="R109" s="563"/>
      <c r="S109" s="563"/>
      <c r="T109" s="563"/>
      <c r="U109" s="563"/>
      <c r="V109" s="538"/>
      <c r="W109" s="538"/>
    </row>
    <row r="110" spans="1:23" ht="15.75" customHeight="1">
      <c r="A110" s="1"/>
      <c r="B110" s="365"/>
      <c r="C110" s="903"/>
      <c r="D110" s="64"/>
      <c r="E110" s="1158"/>
      <c r="F110" s="1158"/>
      <c r="G110" s="1158"/>
      <c r="H110" s="1158"/>
      <c r="I110" s="88"/>
      <c r="J110" s="64"/>
      <c r="K110" s="64"/>
      <c r="L110" s="64"/>
      <c r="M110" s="64"/>
      <c r="N110" s="64"/>
      <c r="O110" s="563"/>
      <c r="P110" s="563"/>
      <c r="Q110" s="563"/>
      <c r="R110" s="563"/>
      <c r="S110" s="563"/>
      <c r="T110" s="563"/>
      <c r="U110" s="563"/>
      <c r="V110" s="538"/>
      <c r="W110" s="538"/>
    </row>
    <row r="111" spans="1:23" ht="15.75" customHeight="1">
      <c r="A111" s="1"/>
      <c r="B111" s="365"/>
      <c r="C111" s="903"/>
      <c r="D111" s="64"/>
      <c r="E111" s="1158"/>
      <c r="F111" s="1158"/>
      <c r="G111" s="1158"/>
      <c r="H111" s="1158"/>
      <c r="I111" s="88"/>
      <c r="J111" s="64"/>
      <c r="K111" s="64"/>
      <c r="L111" s="64"/>
      <c r="M111" s="64"/>
      <c r="N111" s="64"/>
      <c r="O111" s="563"/>
      <c r="P111" s="563"/>
      <c r="Q111" s="563"/>
      <c r="R111" s="563"/>
      <c r="S111" s="563"/>
      <c r="T111" s="563"/>
      <c r="U111" s="563"/>
      <c r="V111" s="538"/>
      <c r="W111" s="538"/>
    </row>
    <row r="112" spans="1:23" ht="15.75" customHeight="1">
      <c r="A112" s="1"/>
      <c r="B112" s="365"/>
      <c r="C112" s="903"/>
      <c r="D112" s="64"/>
      <c r="E112" s="1158"/>
      <c r="F112" s="1158"/>
      <c r="G112" s="1158"/>
      <c r="H112" s="1158"/>
      <c r="I112" s="88"/>
      <c r="J112" s="64"/>
      <c r="K112" s="64"/>
      <c r="L112" s="64"/>
      <c r="M112" s="64"/>
      <c r="N112" s="64"/>
      <c r="O112" s="563"/>
      <c r="P112" s="563"/>
      <c r="Q112" s="563"/>
      <c r="R112" s="563"/>
      <c r="S112" s="563"/>
      <c r="T112" s="563"/>
      <c r="U112" s="563"/>
      <c r="V112" s="538"/>
      <c r="W112" s="538"/>
    </row>
    <row r="113" spans="1:23" ht="15.75" customHeight="1">
      <c r="A113" s="1"/>
      <c r="B113" s="365"/>
      <c r="C113" s="903"/>
      <c r="D113" s="64"/>
      <c r="E113" s="1158"/>
      <c r="F113" s="1158"/>
      <c r="G113" s="1158"/>
      <c r="H113" s="1158"/>
      <c r="I113" s="88"/>
      <c r="J113" s="64"/>
      <c r="K113" s="64"/>
      <c r="L113" s="64"/>
      <c r="M113" s="64"/>
      <c r="N113" s="64"/>
      <c r="O113" s="563"/>
      <c r="P113" s="563"/>
      <c r="Q113" s="563"/>
      <c r="R113" s="563"/>
      <c r="S113" s="563"/>
      <c r="T113" s="563"/>
      <c r="U113" s="563"/>
      <c r="V113" s="538"/>
      <c r="W113" s="538"/>
    </row>
    <row r="114" spans="1:23" ht="15.75" customHeight="1">
      <c r="A114" s="1"/>
      <c r="B114" s="336"/>
      <c r="C114" s="898"/>
      <c r="D114" s="2"/>
      <c r="I114" s="88"/>
      <c r="J114" s="1"/>
      <c r="K114" s="1"/>
      <c r="L114" s="2"/>
      <c r="M114" s="2"/>
      <c r="N114" s="1"/>
      <c r="O114" s="539"/>
      <c r="P114" s="539"/>
      <c r="Q114" s="539"/>
      <c r="R114" s="539"/>
      <c r="S114" s="539"/>
      <c r="T114" s="539"/>
      <c r="U114" s="539"/>
      <c r="V114" s="538"/>
      <c r="W114" s="538"/>
    </row>
    <row r="115" spans="1:23" ht="15.75" customHeight="1">
      <c r="A115" s="1"/>
      <c r="B115" s="336"/>
      <c r="C115" s="898"/>
      <c r="D115" s="2"/>
      <c r="I115" s="88"/>
      <c r="J115" s="1"/>
      <c r="K115" s="1"/>
      <c r="L115" s="2"/>
      <c r="M115" s="2"/>
      <c r="N115" s="1"/>
      <c r="O115" s="539"/>
      <c r="P115" s="539"/>
      <c r="Q115" s="539"/>
      <c r="R115" s="539"/>
      <c r="S115" s="539"/>
      <c r="T115" s="539"/>
      <c r="U115" s="539"/>
      <c r="V115" s="538"/>
      <c r="W115" s="538"/>
    </row>
    <row r="116" spans="1:23" ht="15.75" customHeight="1">
      <c r="A116" s="1"/>
      <c r="B116" s="336"/>
      <c r="C116" s="898"/>
      <c r="D116" s="2"/>
      <c r="I116" s="88"/>
      <c r="J116" s="1"/>
      <c r="K116" s="1"/>
      <c r="L116" s="2"/>
      <c r="M116" s="2"/>
      <c r="N116" s="1"/>
      <c r="O116" s="539"/>
      <c r="P116" s="539"/>
      <c r="Q116" s="539"/>
      <c r="R116" s="539"/>
      <c r="S116" s="539"/>
      <c r="T116" s="539"/>
      <c r="U116" s="539"/>
      <c r="V116" s="538"/>
      <c r="W116" s="538"/>
    </row>
    <row r="117" spans="1:23" ht="15.75" customHeight="1">
      <c r="A117" s="1"/>
      <c r="B117" s="336"/>
      <c r="C117" s="898"/>
      <c r="D117" s="2"/>
      <c r="I117" s="88"/>
      <c r="J117" s="1"/>
      <c r="K117" s="1"/>
      <c r="L117" s="2"/>
      <c r="M117" s="2"/>
      <c r="N117" s="1"/>
      <c r="O117" s="539"/>
      <c r="P117" s="539"/>
      <c r="Q117" s="539"/>
      <c r="R117" s="539"/>
      <c r="S117" s="539"/>
      <c r="T117" s="539"/>
      <c r="U117" s="539"/>
      <c r="V117" s="538"/>
      <c r="W117" s="538"/>
    </row>
    <row r="118" spans="1:23" ht="15.75" customHeight="1">
      <c r="A118" s="1"/>
      <c r="B118" s="336"/>
      <c r="C118" s="898"/>
      <c r="D118" s="2"/>
      <c r="I118" s="88"/>
      <c r="J118" s="1"/>
      <c r="K118" s="1"/>
      <c r="L118" s="2"/>
      <c r="M118" s="2"/>
      <c r="N118" s="1"/>
      <c r="O118" s="539"/>
      <c r="P118" s="539"/>
      <c r="Q118" s="539"/>
      <c r="R118" s="539"/>
      <c r="S118" s="539"/>
      <c r="T118" s="539"/>
      <c r="U118" s="539"/>
      <c r="V118" s="538"/>
      <c r="W118" s="538"/>
    </row>
    <row r="119" spans="1:23" ht="15.75" customHeight="1">
      <c r="A119" s="1"/>
      <c r="B119" s="336"/>
      <c r="C119" s="898"/>
      <c r="D119" s="2"/>
      <c r="I119" s="88"/>
      <c r="J119" s="1"/>
      <c r="K119" s="1"/>
      <c r="L119" s="2"/>
      <c r="M119" s="2"/>
      <c r="N119" s="1"/>
      <c r="O119" s="539"/>
      <c r="P119" s="539"/>
      <c r="Q119" s="539"/>
      <c r="R119" s="539"/>
      <c r="S119" s="539"/>
      <c r="T119" s="539"/>
      <c r="U119" s="539"/>
      <c r="V119" s="538"/>
      <c r="W119" s="538"/>
    </row>
    <row r="120" spans="1:23" ht="15.75" customHeight="1">
      <c r="A120" s="1"/>
      <c r="B120" s="336"/>
      <c r="C120" s="898"/>
      <c r="D120" s="2"/>
      <c r="I120" s="88"/>
      <c r="J120" s="1"/>
      <c r="K120" s="1"/>
      <c r="L120" s="2"/>
      <c r="M120" s="2"/>
      <c r="N120" s="1"/>
      <c r="O120" s="539"/>
      <c r="P120" s="539"/>
      <c r="Q120" s="539"/>
      <c r="R120" s="539"/>
      <c r="S120" s="539"/>
      <c r="T120" s="539"/>
      <c r="U120" s="539"/>
      <c r="V120" s="538"/>
      <c r="W120" s="538"/>
    </row>
    <row r="121" spans="1:23" ht="15.75" customHeight="1">
      <c r="A121" s="1"/>
      <c r="B121" s="336"/>
      <c r="C121" s="898"/>
      <c r="D121" s="2"/>
      <c r="I121" s="88"/>
      <c r="J121" s="1"/>
      <c r="K121" s="1"/>
      <c r="L121" s="2"/>
      <c r="M121" s="2"/>
      <c r="N121" s="1"/>
      <c r="O121" s="539"/>
      <c r="P121" s="539"/>
      <c r="Q121" s="539"/>
      <c r="R121" s="539"/>
      <c r="S121" s="539"/>
      <c r="T121" s="539"/>
      <c r="U121" s="539"/>
      <c r="V121" s="538"/>
      <c r="W121" s="538"/>
    </row>
    <row r="122" spans="1:23" ht="15.75" customHeight="1">
      <c r="A122" s="1"/>
      <c r="B122" s="336"/>
      <c r="C122" s="898"/>
      <c r="D122" s="2"/>
      <c r="I122" s="88"/>
      <c r="J122" s="1"/>
      <c r="K122" s="1"/>
      <c r="L122" s="2"/>
      <c r="M122" s="2"/>
      <c r="N122" s="1"/>
      <c r="O122" s="539"/>
      <c r="P122" s="539"/>
      <c r="Q122" s="539"/>
      <c r="R122" s="539"/>
      <c r="S122" s="539"/>
      <c r="T122" s="539"/>
      <c r="U122" s="539"/>
      <c r="V122" s="538"/>
      <c r="W122" s="538"/>
    </row>
    <row r="123" spans="1:23" ht="15.75" customHeight="1">
      <c r="A123" s="1"/>
      <c r="B123" s="336"/>
      <c r="C123" s="898"/>
      <c r="D123" s="2"/>
      <c r="I123" s="88"/>
      <c r="J123" s="1"/>
      <c r="K123" s="1"/>
      <c r="L123" s="2"/>
      <c r="M123" s="2"/>
      <c r="N123" s="1"/>
      <c r="O123" s="539"/>
      <c r="P123" s="539"/>
      <c r="Q123" s="539"/>
      <c r="R123" s="539"/>
      <c r="S123" s="539"/>
      <c r="T123" s="539"/>
      <c r="U123" s="539"/>
      <c r="V123" s="538"/>
      <c r="W123" s="538"/>
    </row>
    <row r="124" spans="1:23" ht="15.75" customHeight="1">
      <c r="A124" s="1"/>
      <c r="B124" s="336"/>
      <c r="C124" s="898"/>
      <c r="D124" s="2"/>
      <c r="I124" s="88"/>
      <c r="J124" s="1"/>
      <c r="K124" s="1"/>
      <c r="L124" s="2"/>
      <c r="M124" s="2"/>
      <c r="N124" s="1"/>
      <c r="O124" s="539"/>
      <c r="P124" s="539"/>
      <c r="Q124" s="539"/>
      <c r="R124" s="539"/>
      <c r="S124" s="539"/>
      <c r="T124" s="539"/>
      <c r="U124" s="539"/>
      <c r="V124" s="538"/>
      <c r="W124" s="538"/>
    </row>
    <row r="125" spans="1:23" ht="15.75" customHeight="1">
      <c r="A125" s="1"/>
      <c r="B125" s="336"/>
      <c r="C125" s="898"/>
      <c r="D125" s="2"/>
      <c r="I125" s="88"/>
      <c r="J125" s="1"/>
      <c r="K125" s="1"/>
      <c r="L125" s="2"/>
      <c r="M125" s="2"/>
      <c r="N125" s="1"/>
      <c r="O125" s="539"/>
      <c r="P125" s="539"/>
      <c r="Q125" s="539"/>
      <c r="R125" s="539"/>
      <c r="S125" s="539"/>
      <c r="T125" s="539"/>
      <c r="U125" s="539"/>
      <c r="V125" s="538"/>
      <c r="W125" s="538"/>
    </row>
    <row r="126" spans="1:23" ht="15.75" customHeight="1">
      <c r="B126" s="336"/>
      <c r="C126" s="898"/>
      <c r="D126" s="2"/>
      <c r="I126" s="88"/>
      <c r="J126" s="1"/>
      <c r="K126" s="1"/>
      <c r="L126" s="2"/>
      <c r="M126" s="2"/>
      <c r="N126" s="1"/>
      <c r="O126" s="539"/>
      <c r="P126" s="539"/>
      <c r="Q126" s="539"/>
      <c r="R126" s="539"/>
      <c r="S126" s="539"/>
      <c r="T126" s="539"/>
      <c r="U126" s="539"/>
      <c r="V126" s="538"/>
      <c r="W126" s="538"/>
    </row>
    <row r="127" spans="1:23" ht="15" customHeight="1">
      <c r="B127" s="336"/>
      <c r="C127" s="898"/>
      <c r="D127" s="2"/>
      <c r="I127" s="88"/>
      <c r="J127" s="1"/>
      <c r="K127" s="1"/>
      <c r="L127" s="2"/>
      <c r="M127" s="2"/>
      <c r="N127" s="1"/>
      <c r="O127" s="539"/>
      <c r="P127" s="539"/>
      <c r="Q127" s="539"/>
      <c r="R127" s="539"/>
      <c r="S127" s="539"/>
      <c r="T127" s="539"/>
      <c r="U127" s="539"/>
      <c r="V127" s="538"/>
    </row>
    <row r="128" spans="1:23" ht="15" customHeight="1">
      <c r="B128" s="336"/>
      <c r="C128" s="898"/>
      <c r="D128" s="2"/>
      <c r="I128" s="88"/>
      <c r="J128" s="1"/>
      <c r="K128" s="1"/>
      <c r="L128" s="2"/>
      <c r="M128" s="2"/>
      <c r="N128" s="1"/>
      <c r="O128" s="539"/>
      <c r="P128" s="539"/>
      <c r="Q128" s="539"/>
      <c r="R128" s="539"/>
      <c r="S128" s="539"/>
      <c r="T128" s="539"/>
      <c r="U128" s="539"/>
      <c r="V128" s="538"/>
    </row>
    <row r="129" spans="2:21" ht="15" customHeight="1">
      <c r="B129" s="336"/>
      <c r="C129" s="898"/>
      <c r="D129" s="2"/>
      <c r="I129" s="88"/>
      <c r="J129" s="1"/>
      <c r="K129" s="1"/>
      <c r="L129" s="2"/>
      <c r="M129" s="2"/>
      <c r="N129" s="1"/>
      <c r="O129" s="539"/>
      <c r="P129" s="539"/>
      <c r="Q129" s="539"/>
      <c r="R129" s="539"/>
      <c r="S129" s="539"/>
      <c r="T129" s="539"/>
      <c r="U129" s="539"/>
    </row>
    <row r="130" spans="2:21" ht="15" customHeight="1">
      <c r="I130" s="88"/>
      <c r="N130" s="1"/>
      <c r="O130" s="539"/>
      <c r="P130" s="539"/>
      <c r="Q130" s="539"/>
      <c r="R130" s="539"/>
      <c r="S130" s="539"/>
      <c r="T130" s="539"/>
      <c r="U130" s="539"/>
    </row>
    <row r="131" spans="2:21" ht="15" customHeight="1">
      <c r="I131" s="88"/>
      <c r="N131" s="1"/>
      <c r="O131" s="539"/>
      <c r="P131" s="539"/>
      <c r="Q131" s="539"/>
      <c r="R131" s="539"/>
      <c r="S131" s="539"/>
      <c r="T131" s="539"/>
      <c r="U131" s="539"/>
    </row>
    <row r="132" spans="2:21" ht="15" customHeight="1">
      <c r="I132" s="88"/>
      <c r="N132" s="1"/>
      <c r="O132" s="539"/>
      <c r="P132" s="539"/>
      <c r="Q132" s="539"/>
      <c r="R132" s="539"/>
      <c r="S132" s="539"/>
      <c r="T132" s="539"/>
      <c r="U132" s="539"/>
    </row>
    <row r="133" spans="2:21" ht="15" customHeight="1">
      <c r="I133" s="88"/>
      <c r="N133" s="1"/>
      <c r="O133" s="539"/>
      <c r="P133" s="539"/>
      <c r="Q133" s="539"/>
      <c r="R133" s="539"/>
      <c r="S133" s="539"/>
      <c r="T133" s="539"/>
      <c r="U133" s="539"/>
    </row>
    <row r="134" spans="2:21" ht="15" customHeight="1">
      <c r="I134" s="88"/>
      <c r="N134" s="1"/>
      <c r="O134" s="539"/>
      <c r="P134" s="539"/>
      <c r="Q134" s="539"/>
      <c r="R134" s="539"/>
      <c r="S134" s="539"/>
      <c r="T134" s="539"/>
      <c r="U134" s="539"/>
    </row>
    <row r="135" spans="2:21" ht="15" customHeight="1">
      <c r="I135" s="88"/>
      <c r="O135" s="539"/>
      <c r="P135" s="539"/>
      <c r="Q135" s="539"/>
      <c r="R135" s="539"/>
      <c r="S135" s="539"/>
      <c r="T135" s="539"/>
      <c r="U135" s="539"/>
    </row>
    <row r="136" spans="2:21" ht="15" customHeight="1">
      <c r="I136" s="88"/>
    </row>
    <row r="137" spans="2:21" ht="15" customHeight="1">
      <c r="I137" s="88"/>
    </row>
  </sheetData>
  <mergeCells count="41">
    <mergeCell ref="O91:U93"/>
    <mergeCell ref="B53:C53"/>
    <mergeCell ref="B76:M77"/>
    <mergeCell ref="K91:K93"/>
    <mergeCell ref="B59:C59"/>
    <mergeCell ref="B57:C57"/>
    <mergeCell ref="O69:U70"/>
    <mergeCell ref="B78:M79"/>
    <mergeCell ref="B61:C61"/>
    <mergeCell ref="B54:C54"/>
    <mergeCell ref="M91:M93"/>
    <mergeCell ref="B81:K82"/>
    <mergeCell ref="B64:C74"/>
    <mergeCell ref="B83:K84"/>
    <mergeCell ref="B91:J93"/>
    <mergeCell ref="S2:U4"/>
    <mergeCell ref="S6:U6"/>
    <mergeCell ref="O6:Q6"/>
    <mergeCell ref="B2:C3"/>
    <mergeCell ref="B4:C4"/>
    <mergeCell ref="M6:M7"/>
    <mergeCell ref="K6:K7"/>
    <mergeCell ref="B6:C6"/>
    <mergeCell ref="J6:J7"/>
    <mergeCell ref="E6:E7"/>
    <mergeCell ref="F6:F7"/>
    <mergeCell ref="G6:H6"/>
    <mergeCell ref="M2:Q4"/>
    <mergeCell ref="B8:C8"/>
    <mergeCell ref="J2:K4"/>
    <mergeCell ref="E2:H4"/>
    <mergeCell ref="B51:C51"/>
    <mergeCell ref="B42:C42"/>
    <mergeCell ref="B37:C37"/>
    <mergeCell ref="B33:C33"/>
    <mergeCell ref="B9:C9"/>
    <mergeCell ref="B18:C18"/>
    <mergeCell ref="B28:C28"/>
    <mergeCell ref="B29:C29"/>
    <mergeCell ref="B10:C10"/>
    <mergeCell ref="B19:C19"/>
  </mergeCells>
  <phoneticPr fontId="17" type="noConversion"/>
  <printOptions horizontalCentered="1"/>
  <pageMargins left="0.23622047244094488" right="0.23622047244094488" top="0.3543307086614173" bottom="0.3543307086614173" header="0.31496062992125984" footer="0.31496062992125984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323"/>
  <sheetViews>
    <sheetView zoomScale="70" zoomScaleNormal="70" zoomScaleSheetLayoutView="50" workbookViewId="0">
      <selection activeCell="F9" sqref="F9"/>
    </sheetView>
  </sheetViews>
  <sheetFormatPr baseColWidth="10" defaultColWidth="14.42578125" defaultRowHeight="15" customHeight="1"/>
  <cols>
    <col min="1" max="1" width="2.140625" style="324" customWidth="1"/>
    <col min="2" max="2" width="8.5703125" customWidth="1"/>
    <col min="3" max="3" width="7.7109375" customWidth="1"/>
    <col min="4" max="4" width="10.5703125" bestFit="1" customWidth="1"/>
    <col min="5" max="5" width="0.7109375" customWidth="1"/>
    <col min="6" max="6" width="9.42578125" style="325" customWidth="1"/>
    <col min="7" max="7" width="17.140625" bestFit="1" customWidth="1"/>
    <col min="8" max="8" width="41.5703125" customWidth="1"/>
    <col min="9" max="9" width="10.28515625" style="17" customWidth="1"/>
    <col min="10" max="10" width="1.7109375" customWidth="1"/>
    <col min="11" max="11" width="8.5703125" customWidth="1"/>
    <col min="12" max="12" width="7.7109375" customWidth="1"/>
    <col min="13" max="13" width="10.5703125" bestFit="1" customWidth="1"/>
    <col min="14" max="14" width="0.7109375" customWidth="1"/>
    <col min="15" max="15" width="9.5703125" style="324" customWidth="1"/>
    <col min="16" max="16" width="15.85546875" bestFit="1" customWidth="1"/>
    <col min="17" max="17" width="45.5703125" customWidth="1"/>
    <col min="18" max="18" width="10.7109375" style="17" customWidth="1"/>
    <col min="19" max="19" width="10.28515625" style="171" bestFit="1" customWidth="1"/>
    <col min="20" max="20" width="14.42578125" style="470"/>
  </cols>
  <sheetData>
    <row r="1" spans="1:23" ht="15" customHeight="1" thickBot="1">
      <c r="R1"/>
      <c r="S1"/>
      <c r="T1"/>
    </row>
    <row r="2" spans="1:23" ht="15.75" customHeight="1">
      <c r="A2" s="20"/>
      <c r="B2" s="1912" t="s">
        <v>640</v>
      </c>
      <c r="C2" s="1913"/>
      <c r="D2" s="1914" t="s">
        <v>1174</v>
      </c>
      <c r="E2" s="61"/>
      <c r="F2" s="1918" t="s">
        <v>49</v>
      </c>
      <c r="G2" s="1919"/>
      <c r="H2" s="46" t="s">
        <v>431</v>
      </c>
      <c r="I2" s="494" t="s">
        <v>969</v>
      </c>
      <c r="J2" s="75"/>
      <c r="K2" s="1912" t="s">
        <v>640</v>
      </c>
      <c r="L2" s="1913"/>
      <c r="M2" s="1914" t="s">
        <v>1174</v>
      </c>
      <c r="N2" s="54"/>
      <c r="O2" s="1938" t="s">
        <v>253</v>
      </c>
      <c r="P2" s="1968"/>
      <c r="Q2" s="46" t="s">
        <v>50</v>
      </c>
      <c r="R2" s="167" t="s">
        <v>723</v>
      </c>
      <c r="S2" s="1"/>
    </row>
    <row r="3" spans="1:23" ht="15.75" customHeight="1" thickBot="1">
      <c r="A3" s="20"/>
      <c r="B3" s="1947" t="s">
        <v>5</v>
      </c>
      <c r="C3" s="1950" t="s">
        <v>6</v>
      </c>
      <c r="D3" s="1915"/>
      <c r="E3" s="62"/>
      <c r="F3" s="1920"/>
      <c r="G3" s="1921"/>
      <c r="H3" s="29" t="s">
        <v>1388</v>
      </c>
      <c r="I3" s="183"/>
      <c r="J3" s="40"/>
      <c r="K3" s="1532" t="s">
        <v>5</v>
      </c>
      <c r="L3" s="1303" t="s">
        <v>6</v>
      </c>
      <c r="M3" s="1915"/>
      <c r="N3" s="40"/>
      <c r="O3" s="1969"/>
      <c r="P3" s="1970"/>
      <c r="Q3" s="1560" t="s">
        <v>51</v>
      </c>
      <c r="R3" s="1122"/>
      <c r="S3" s="1"/>
    </row>
    <row r="4" spans="1:23" ht="15.75">
      <c r="A4" s="20"/>
      <c r="B4" s="1948"/>
      <c r="C4" s="1951"/>
      <c r="D4" s="1915"/>
      <c r="E4" s="75"/>
      <c r="F4" s="1922"/>
      <c r="G4" s="1923"/>
      <c r="H4" s="79" t="s">
        <v>1387</v>
      </c>
      <c r="I4" s="184" t="s">
        <v>447</v>
      </c>
      <c r="J4" s="40"/>
      <c r="K4" s="1574"/>
      <c r="L4" s="1575"/>
      <c r="M4" s="1576"/>
      <c r="N4" s="54"/>
      <c r="O4" s="1577"/>
      <c r="P4" s="1578" t="s">
        <v>11</v>
      </c>
      <c r="Q4" s="1579" t="s">
        <v>1250</v>
      </c>
      <c r="R4" s="1580"/>
      <c r="S4" s="1"/>
    </row>
    <row r="5" spans="1:23" ht="15.75" customHeight="1">
      <c r="A5" s="20"/>
      <c r="B5" s="1949"/>
      <c r="C5" s="1952"/>
      <c r="D5" s="1917"/>
      <c r="E5" s="75"/>
      <c r="F5" s="1936" t="s">
        <v>1049</v>
      </c>
      <c r="G5" s="1937"/>
      <c r="H5" s="1937"/>
      <c r="I5" s="1049"/>
      <c r="J5" s="40"/>
      <c r="K5" s="626"/>
      <c r="L5" s="1366"/>
      <c r="M5" s="1586"/>
      <c r="N5" s="478"/>
      <c r="O5" s="1567"/>
      <c r="P5" s="1562" t="s">
        <v>11</v>
      </c>
      <c r="Q5" s="627" t="s">
        <v>1252</v>
      </c>
      <c r="R5" s="628"/>
      <c r="S5" s="1"/>
    </row>
    <row r="6" spans="1:23" ht="15.75" customHeight="1" thickBot="1">
      <c r="A6" s="20"/>
      <c r="B6" s="965" t="s">
        <v>9</v>
      </c>
      <c r="C6" s="964">
        <v>120</v>
      </c>
      <c r="D6" s="1673"/>
      <c r="E6" s="481"/>
      <c r="F6" s="961"/>
      <c r="G6" s="962" t="s">
        <v>46</v>
      </c>
      <c r="H6" s="962" t="s">
        <v>53</v>
      </c>
      <c r="I6" s="963">
        <v>30340</v>
      </c>
      <c r="J6" s="40"/>
      <c r="K6" s="1581"/>
      <c r="L6" s="1582"/>
      <c r="M6" s="1583"/>
      <c r="N6" s="58"/>
      <c r="O6" s="1388"/>
      <c r="P6" s="1584" t="s">
        <v>11</v>
      </c>
      <c r="Q6" s="1585" t="s">
        <v>1251</v>
      </c>
      <c r="R6" s="374"/>
      <c r="S6" s="1"/>
    </row>
    <row r="7" spans="1:23" ht="15.75" customHeight="1">
      <c r="A7" s="20"/>
      <c r="B7" s="1110" t="s">
        <v>9</v>
      </c>
      <c r="C7" s="913">
        <v>15</v>
      </c>
      <c r="D7" s="1674"/>
      <c r="E7" s="481"/>
      <c r="F7" s="326"/>
      <c r="G7" s="11" t="s">
        <v>46</v>
      </c>
      <c r="H7" s="80" t="s">
        <v>921</v>
      </c>
      <c r="I7" s="1590"/>
      <c r="J7" s="40"/>
      <c r="K7" s="1924" t="s">
        <v>923</v>
      </c>
      <c r="L7" s="1925"/>
      <c r="M7" s="1368"/>
      <c r="N7" s="478"/>
      <c r="O7" s="1570"/>
      <c r="P7" s="1571" t="s">
        <v>46</v>
      </c>
      <c r="Q7" s="1572" t="s">
        <v>507</v>
      </c>
      <c r="R7" s="1573"/>
      <c r="S7" s="1"/>
      <c r="T7" s="469"/>
      <c r="V7" s="40"/>
      <c r="W7" s="40"/>
    </row>
    <row r="8" spans="1:23" ht="15.75" customHeight="1">
      <c r="A8" s="20"/>
      <c r="B8" s="906" t="s">
        <v>182</v>
      </c>
      <c r="C8" s="964">
        <v>15</v>
      </c>
      <c r="D8" s="1675"/>
      <c r="E8" s="481"/>
      <c r="F8" s="961"/>
      <c r="G8" s="962" t="s">
        <v>46</v>
      </c>
      <c r="H8" s="962" t="s">
        <v>922</v>
      </c>
      <c r="I8" s="490" t="s">
        <v>182</v>
      </c>
      <c r="J8" s="40"/>
      <c r="K8" s="1928" t="s">
        <v>923</v>
      </c>
      <c r="L8" s="1929"/>
      <c r="M8" s="1411"/>
      <c r="N8" s="40"/>
      <c r="O8" s="1387"/>
      <c r="P8" s="1561" t="s">
        <v>15</v>
      </c>
      <c r="Q8" s="603" t="s">
        <v>558</v>
      </c>
      <c r="R8" s="602"/>
      <c r="S8" s="1"/>
      <c r="T8" s="40"/>
    </row>
    <row r="9" spans="1:23" ht="15.75" customHeight="1">
      <c r="A9" s="20"/>
      <c r="B9" s="906" t="s">
        <v>182</v>
      </c>
      <c r="C9" s="913">
        <v>20</v>
      </c>
      <c r="D9" s="1674"/>
      <c r="E9" s="481"/>
      <c r="F9" s="326"/>
      <c r="G9" s="11" t="s">
        <v>394</v>
      </c>
      <c r="H9" s="80" t="s">
        <v>842</v>
      </c>
      <c r="I9" s="489"/>
      <c r="J9" s="214"/>
      <c r="K9" s="600">
        <v>1</v>
      </c>
      <c r="L9" s="1367">
        <v>2</v>
      </c>
      <c r="M9" s="1369"/>
      <c r="N9" s="40"/>
      <c r="O9" s="950"/>
      <c r="P9" s="1563" t="s">
        <v>1422</v>
      </c>
      <c r="Q9" s="957" t="s">
        <v>950</v>
      </c>
      <c r="R9" s="243">
        <v>2790</v>
      </c>
      <c r="S9" s="1" t="s">
        <v>951</v>
      </c>
      <c r="T9" s="40"/>
    </row>
    <row r="10" spans="1:23" ht="15.75" customHeight="1">
      <c r="A10" s="20"/>
      <c r="B10" s="906" t="s">
        <v>182</v>
      </c>
      <c r="C10" s="964">
        <v>20</v>
      </c>
      <c r="D10" s="1673"/>
      <c r="E10" s="481"/>
      <c r="F10" s="961"/>
      <c r="G10" s="962" t="s">
        <v>394</v>
      </c>
      <c r="H10" s="962" t="s">
        <v>843</v>
      </c>
      <c r="I10" s="490"/>
      <c r="J10" s="168"/>
      <c r="K10" s="601">
        <v>5</v>
      </c>
      <c r="L10" s="1245">
        <v>10</v>
      </c>
      <c r="M10" s="1369"/>
      <c r="N10" s="40"/>
      <c r="O10" s="1387"/>
      <c r="P10" s="1561" t="s">
        <v>833</v>
      </c>
      <c r="Q10" s="603" t="s">
        <v>834</v>
      </c>
      <c r="R10" s="602">
        <v>27990</v>
      </c>
      <c r="S10" s="1" t="s">
        <v>835</v>
      </c>
      <c r="T10" s="40"/>
    </row>
    <row r="11" spans="1:23" ht="15.75" customHeight="1">
      <c r="A11" s="20"/>
      <c r="B11" s="209" t="s">
        <v>9</v>
      </c>
      <c r="C11" s="915">
        <v>12</v>
      </c>
      <c r="D11" s="1674"/>
      <c r="E11" s="481"/>
      <c r="F11" s="326"/>
      <c r="G11" s="11" t="s">
        <v>394</v>
      </c>
      <c r="H11" s="80" t="s">
        <v>857</v>
      </c>
      <c r="I11" s="1590"/>
      <c r="J11" s="168"/>
      <c r="K11" s="1924" t="s">
        <v>923</v>
      </c>
      <c r="L11" s="1925"/>
      <c r="M11" s="1370"/>
      <c r="N11" s="40"/>
      <c r="O11" s="950"/>
      <c r="P11" s="1564" t="s">
        <v>833</v>
      </c>
      <c r="Q11" s="599" t="s">
        <v>832</v>
      </c>
      <c r="R11" s="243">
        <v>22000</v>
      </c>
      <c r="S11" s="1" t="s">
        <v>836</v>
      </c>
      <c r="T11" s="40"/>
    </row>
    <row r="12" spans="1:23" ht="15.75" customHeight="1">
      <c r="A12" s="20"/>
      <c r="B12" s="965" t="s">
        <v>9</v>
      </c>
      <c r="C12" s="964">
        <v>2</v>
      </c>
      <c r="D12" s="1673"/>
      <c r="E12" s="62"/>
      <c r="F12" s="961"/>
      <c r="G12" s="962" t="s">
        <v>848</v>
      </c>
      <c r="H12" s="962" t="s">
        <v>1352</v>
      </c>
      <c r="I12" s="963"/>
      <c r="J12" s="214"/>
      <c r="K12" s="906" t="s">
        <v>182</v>
      </c>
      <c r="L12" s="1307">
        <v>5</v>
      </c>
      <c r="M12" s="1371"/>
      <c r="N12" s="478"/>
      <c r="O12" s="1387"/>
      <c r="P12" s="1565" t="s">
        <v>11</v>
      </c>
      <c r="Q12" s="198" t="s">
        <v>860</v>
      </c>
      <c r="R12" s="122"/>
      <c r="S12" s="1"/>
      <c r="T12" s="469"/>
    </row>
    <row r="13" spans="1:23" ht="15.75" customHeight="1">
      <c r="A13" s="20"/>
      <c r="B13" s="55" t="s">
        <v>9</v>
      </c>
      <c r="C13" s="913">
        <v>6</v>
      </c>
      <c r="D13" s="1674"/>
      <c r="E13" s="62"/>
      <c r="F13" s="326"/>
      <c r="G13" s="11" t="s">
        <v>394</v>
      </c>
      <c r="H13" s="80" t="s">
        <v>1255</v>
      </c>
      <c r="I13" s="488"/>
      <c r="J13" s="214"/>
      <c r="K13" s="906" t="s">
        <v>182</v>
      </c>
      <c r="L13" s="917">
        <v>5</v>
      </c>
      <c r="M13" s="1370"/>
      <c r="N13" s="40"/>
      <c r="O13" s="950"/>
      <c r="P13" s="1564" t="s">
        <v>11</v>
      </c>
      <c r="Q13" s="187" t="s">
        <v>52</v>
      </c>
      <c r="R13" s="197"/>
      <c r="S13" s="1"/>
      <c r="T13" s="469"/>
    </row>
    <row r="14" spans="1:23" ht="15.75" customHeight="1">
      <c r="A14" s="20"/>
      <c r="B14" s="965" t="s">
        <v>9</v>
      </c>
      <c r="C14" s="964">
        <v>4</v>
      </c>
      <c r="D14" s="1673"/>
      <c r="E14" s="62"/>
      <c r="F14" s="961"/>
      <c r="G14" s="962" t="s">
        <v>394</v>
      </c>
      <c r="H14" s="962" t="s">
        <v>844</v>
      </c>
      <c r="I14" s="963"/>
      <c r="J14" s="214"/>
      <c r="K14" s="1928" t="s">
        <v>923</v>
      </c>
      <c r="L14" s="1929"/>
      <c r="M14" s="1371"/>
      <c r="N14" s="478"/>
      <c r="O14" s="1387"/>
      <c r="P14" s="1565" t="s">
        <v>365</v>
      </c>
      <c r="Q14" s="198" t="s">
        <v>366</v>
      </c>
      <c r="R14" s="122"/>
      <c r="S14" s="1"/>
      <c r="T14" s="469"/>
    </row>
    <row r="15" spans="1:23" ht="15.75" customHeight="1">
      <c r="A15" s="20"/>
      <c r="B15" s="55" t="s">
        <v>9</v>
      </c>
      <c r="C15" s="913">
        <v>4</v>
      </c>
      <c r="D15" s="1674"/>
      <c r="E15" s="62"/>
      <c r="F15" s="326"/>
      <c r="G15" s="11" t="s">
        <v>394</v>
      </c>
      <c r="H15" s="80" t="s">
        <v>845</v>
      </c>
      <c r="I15" s="488"/>
      <c r="J15" s="40"/>
      <c r="K15" s="906" t="s">
        <v>182</v>
      </c>
      <c r="L15" s="917">
        <v>4</v>
      </c>
      <c r="M15" s="1370"/>
      <c r="N15" s="40"/>
      <c r="O15" s="950"/>
      <c r="P15" s="1564" t="s">
        <v>365</v>
      </c>
      <c r="Q15" s="187" t="s">
        <v>83</v>
      </c>
      <c r="R15" s="197"/>
      <c r="S15" s="1"/>
      <c r="T15" s="469"/>
    </row>
    <row r="16" spans="1:23" ht="15.75" customHeight="1">
      <c r="A16" s="20"/>
      <c r="B16" s="965" t="s">
        <v>9</v>
      </c>
      <c r="C16" s="964">
        <v>2</v>
      </c>
      <c r="D16" s="1673"/>
      <c r="E16" s="62"/>
      <c r="F16" s="961"/>
      <c r="G16" s="962" t="s">
        <v>848</v>
      </c>
      <c r="H16" s="962" t="s">
        <v>849</v>
      </c>
      <c r="I16" s="963"/>
      <c r="J16" s="40"/>
      <c r="K16" s="196">
        <v>2</v>
      </c>
      <c r="L16" s="1307">
        <v>6</v>
      </c>
      <c r="M16" s="1372"/>
      <c r="N16" s="40"/>
      <c r="O16" s="1387"/>
      <c r="P16" s="1566" t="s">
        <v>46</v>
      </c>
      <c r="Q16" s="471" t="s">
        <v>55</v>
      </c>
      <c r="R16" s="122"/>
      <c r="S16" s="1"/>
      <c r="T16" s="469"/>
    </row>
    <row r="17" spans="1:20" ht="15.75">
      <c r="A17" s="20"/>
      <c r="B17" s="55" t="s">
        <v>9</v>
      </c>
      <c r="C17" s="913">
        <v>8</v>
      </c>
      <c r="D17" s="1674"/>
      <c r="E17" s="62"/>
      <c r="F17" s="326"/>
      <c r="G17" s="11" t="s">
        <v>394</v>
      </c>
      <c r="H17" s="80" t="s">
        <v>846</v>
      </c>
      <c r="I17" s="488"/>
      <c r="J17" s="40"/>
      <c r="K17" s="190">
        <v>2</v>
      </c>
      <c r="L17" s="917">
        <v>6</v>
      </c>
      <c r="M17" s="1369"/>
      <c r="N17" s="40"/>
      <c r="O17" s="950"/>
      <c r="P17" s="1563" t="s">
        <v>861</v>
      </c>
      <c r="Q17" s="958" t="s">
        <v>1358</v>
      </c>
      <c r="R17" s="197"/>
      <c r="S17" s="1"/>
      <c r="T17" s="469"/>
    </row>
    <row r="18" spans="1:20" ht="15.75" customHeight="1">
      <c r="A18" s="20"/>
      <c r="B18" s="965" t="s">
        <v>9</v>
      </c>
      <c r="C18" s="964">
        <v>8</v>
      </c>
      <c r="D18" s="1673"/>
      <c r="E18" s="62"/>
      <c r="F18" s="961"/>
      <c r="G18" s="962" t="s">
        <v>394</v>
      </c>
      <c r="H18" s="962" t="s">
        <v>847</v>
      </c>
      <c r="I18" s="963"/>
      <c r="J18" s="40"/>
      <c r="K18" s="196">
        <v>2</v>
      </c>
      <c r="L18" s="1307">
        <v>6</v>
      </c>
      <c r="M18" s="1372"/>
      <c r="N18" s="40"/>
      <c r="O18" s="1387"/>
      <c r="P18" s="1566" t="s">
        <v>861</v>
      </c>
      <c r="Q18" s="471" t="s">
        <v>1354</v>
      </c>
      <c r="R18" s="122"/>
      <c r="S18" s="1"/>
      <c r="T18" s="469"/>
    </row>
    <row r="19" spans="1:20" ht="15.75" customHeight="1">
      <c r="A19" s="20"/>
      <c r="B19" s="906" t="s">
        <v>182</v>
      </c>
      <c r="C19" s="913">
        <v>280</v>
      </c>
      <c r="D19" s="1319"/>
      <c r="E19" s="62"/>
      <c r="F19" s="326"/>
      <c r="G19" s="11" t="s">
        <v>59</v>
      </c>
      <c r="H19" s="80" t="s">
        <v>60</v>
      </c>
      <c r="I19" s="490" t="s">
        <v>182</v>
      </c>
      <c r="J19" s="40"/>
      <c r="K19" s="1016">
        <v>2</v>
      </c>
      <c r="L19" s="1306">
        <v>4</v>
      </c>
      <c r="M19" s="1372"/>
      <c r="N19" s="40"/>
      <c r="O19" s="950"/>
      <c r="P19" s="1566" t="s">
        <v>63</v>
      </c>
      <c r="Q19" s="1681" t="s">
        <v>1355</v>
      </c>
      <c r="R19" s="299"/>
      <c r="S19" s="1"/>
      <c r="T19" s="469"/>
    </row>
    <row r="20" spans="1:20" ht="15.75" customHeight="1">
      <c r="A20" s="20"/>
      <c r="B20" s="965" t="s">
        <v>9</v>
      </c>
      <c r="C20" s="964">
        <v>6</v>
      </c>
      <c r="D20" s="1673"/>
      <c r="E20" s="62"/>
      <c r="F20" s="961"/>
      <c r="G20" s="962" t="s">
        <v>497</v>
      </c>
      <c r="H20" s="962" t="s">
        <v>302</v>
      </c>
      <c r="I20" s="963"/>
      <c r="J20" s="40"/>
      <c r="K20" s="1413">
        <v>1</v>
      </c>
      <c r="L20" s="1414">
        <v>3</v>
      </c>
      <c r="M20" s="1369"/>
      <c r="N20" s="40"/>
      <c r="O20" s="1568"/>
      <c r="P20" s="1563" t="s">
        <v>11</v>
      </c>
      <c r="Q20" s="958" t="s">
        <v>1356</v>
      </c>
      <c r="R20" s="1415"/>
      <c r="S20" s="1"/>
    </row>
    <row r="21" spans="1:20" ht="15.75" customHeight="1">
      <c r="A21" s="20"/>
      <c r="B21" s="55" t="s">
        <v>9</v>
      </c>
      <c r="C21" s="913">
        <v>120</v>
      </c>
      <c r="D21" s="1674"/>
      <c r="E21" s="62"/>
      <c r="F21" s="326"/>
      <c r="G21" s="11" t="s">
        <v>11</v>
      </c>
      <c r="H21" s="80" t="s">
        <v>953</v>
      </c>
      <c r="I21" s="488"/>
      <c r="J21" s="40"/>
      <c r="K21" s="190">
        <v>1</v>
      </c>
      <c r="L21" s="917">
        <v>5</v>
      </c>
      <c r="M21" s="1369"/>
      <c r="N21" s="40"/>
      <c r="O21" s="950"/>
      <c r="P21" s="1910" t="s">
        <v>11</v>
      </c>
      <c r="Q21" s="1911" t="s">
        <v>1430</v>
      </c>
      <c r="R21" s="197"/>
      <c r="S21" s="1"/>
      <c r="T21" s="469"/>
    </row>
    <row r="22" spans="1:20" ht="15.75" customHeight="1">
      <c r="A22" s="20"/>
      <c r="B22" s="965" t="s">
        <v>9</v>
      </c>
      <c r="C22" s="964">
        <v>2</v>
      </c>
      <c r="D22" s="1673"/>
      <c r="E22" s="62"/>
      <c r="F22" s="961"/>
      <c r="G22" s="962" t="s">
        <v>522</v>
      </c>
      <c r="H22" s="962" t="s">
        <v>566</v>
      </c>
      <c r="I22" s="963"/>
      <c r="J22" s="40"/>
      <c r="K22" s="1418">
        <v>2</v>
      </c>
      <c r="L22" s="1417">
        <v>6</v>
      </c>
      <c r="M22" s="1372"/>
      <c r="N22" s="40"/>
      <c r="O22" s="1568"/>
      <c r="P22" s="1690" t="s">
        <v>15</v>
      </c>
      <c r="Q22" s="1691" t="s">
        <v>56</v>
      </c>
      <c r="R22" s="1415"/>
      <c r="S22" s="468"/>
      <c r="T22" s="469"/>
    </row>
    <row r="23" spans="1:20" ht="15.75" customHeight="1">
      <c r="A23" s="20"/>
      <c r="B23" s="1924" t="s">
        <v>923</v>
      </c>
      <c r="C23" s="1925"/>
      <c r="D23" s="1319"/>
      <c r="E23" s="62"/>
      <c r="F23" s="326"/>
      <c r="G23" s="11" t="s">
        <v>556</v>
      </c>
      <c r="H23" s="80" t="s">
        <v>557</v>
      </c>
      <c r="I23" s="488"/>
      <c r="J23" s="40"/>
      <c r="K23" s="906" t="s">
        <v>182</v>
      </c>
      <c r="L23" s="917">
        <v>5</v>
      </c>
      <c r="M23" s="1370"/>
      <c r="N23" s="40"/>
      <c r="O23" s="950"/>
      <c r="P23" s="1682" t="s">
        <v>57</v>
      </c>
      <c r="Q23" s="12" t="s">
        <v>58</v>
      </c>
      <c r="R23" s="35"/>
      <c r="S23" s="1"/>
    </row>
    <row r="24" spans="1:20" ht="15.75" customHeight="1">
      <c r="A24" s="20"/>
      <c r="B24" s="965">
        <v>6</v>
      </c>
      <c r="C24" s="964">
        <v>10</v>
      </c>
      <c r="D24" s="1673"/>
      <c r="E24" s="62"/>
      <c r="F24" s="961"/>
      <c r="G24" s="962" t="s">
        <v>67</v>
      </c>
      <c r="H24" s="962" t="s">
        <v>68</v>
      </c>
      <c r="I24" s="963"/>
      <c r="J24" s="40"/>
      <c r="K24" s="906" t="s">
        <v>182</v>
      </c>
      <c r="L24" s="1417">
        <v>2</v>
      </c>
      <c r="M24" s="1372"/>
      <c r="N24" s="40"/>
      <c r="O24" s="1568"/>
      <c r="P24" s="1690" t="s">
        <v>63</v>
      </c>
      <c r="Q24" s="1691" t="s">
        <v>265</v>
      </c>
      <c r="R24" s="1415"/>
      <c r="S24" s="1"/>
    </row>
    <row r="25" spans="1:20" ht="15.75" customHeight="1">
      <c r="A25" s="20"/>
      <c r="B25" s="55">
        <v>4</v>
      </c>
      <c r="C25" s="913">
        <v>6</v>
      </c>
      <c r="D25" s="1674"/>
      <c r="E25" s="62"/>
      <c r="F25" s="326"/>
      <c r="G25" s="11" t="s">
        <v>67</v>
      </c>
      <c r="H25" s="80" t="s">
        <v>69</v>
      </c>
      <c r="I25" s="488"/>
      <c r="J25" s="40"/>
      <c r="K25" s="477">
        <v>2</v>
      </c>
      <c r="L25" s="1419">
        <v>6</v>
      </c>
      <c r="M25" s="1372"/>
      <c r="N25" s="40"/>
      <c r="O25" s="950"/>
      <c r="P25" s="1815" t="s">
        <v>15</v>
      </c>
      <c r="Q25" s="509" t="s">
        <v>1102</v>
      </c>
      <c r="R25" s="35"/>
      <c r="S25" s="1"/>
    </row>
    <row r="26" spans="1:20" ht="15.75" customHeight="1">
      <c r="A26" s="20"/>
      <c r="B26" s="965">
        <v>4</v>
      </c>
      <c r="C26" s="964">
        <v>10</v>
      </c>
      <c r="D26" s="1673"/>
      <c r="E26" s="62"/>
      <c r="F26" s="961"/>
      <c r="G26" s="962" t="s">
        <v>67</v>
      </c>
      <c r="H26" s="962" t="s">
        <v>70</v>
      </c>
      <c r="I26" s="963"/>
      <c r="J26" s="40"/>
      <c r="K26" s="1928" t="s">
        <v>923</v>
      </c>
      <c r="L26" s="1929"/>
      <c r="M26" s="1689"/>
      <c r="N26" s="1412"/>
      <c r="O26" s="1568"/>
      <c r="P26" s="1690" t="s">
        <v>61</v>
      </c>
      <c r="Q26" s="1691" t="s">
        <v>62</v>
      </c>
      <c r="R26" s="1415"/>
      <c r="S26" s="1"/>
    </row>
    <row r="27" spans="1:20" ht="15.75" customHeight="1">
      <c r="A27" s="20"/>
      <c r="B27" s="55">
        <v>2</v>
      </c>
      <c r="C27" s="913">
        <v>4</v>
      </c>
      <c r="D27" s="1674"/>
      <c r="E27" s="62"/>
      <c r="F27" s="326"/>
      <c r="G27" s="11" t="s">
        <v>67</v>
      </c>
      <c r="H27" s="80" t="s">
        <v>563</v>
      </c>
      <c r="I27" s="488"/>
      <c r="J27" s="40"/>
      <c r="K27" s="1420">
        <v>2</v>
      </c>
      <c r="L27" s="1366">
        <v>4</v>
      </c>
      <c r="M27" s="1372"/>
      <c r="N27" s="40"/>
      <c r="O27" s="950"/>
      <c r="P27" s="1682" t="s">
        <v>63</v>
      </c>
      <c r="Q27" s="12" t="s">
        <v>64</v>
      </c>
      <c r="R27" s="35"/>
      <c r="S27" s="1"/>
    </row>
    <row r="28" spans="1:20" ht="15.75" customHeight="1">
      <c r="A28" s="20"/>
      <c r="B28" s="1926" t="s">
        <v>923</v>
      </c>
      <c r="C28" s="1927"/>
      <c r="D28" s="1673"/>
      <c r="E28" s="62"/>
      <c r="F28" s="961"/>
      <c r="G28" s="962" t="s">
        <v>54</v>
      </c>
      <c r="H28" s="962" t="s">
        <v>484</v>
      </c>
      <c r="I28" s="963"/>
      <c r="J28" s="40"/>
      <c r="K28" s="906" t="s">
        <v>182</v>
      </c>
      <c r="L28" s="1416">
        <v>6</v>
      </c>
      <c r="M28" s="1369"/>
      <c r="N28" s="40"/>
      <c r="O28" s="1568"/>
      <c r="P28" s="1690" t="s">
        <v>65</v>
      </c>
      <c r="Q28" s="1691" t="s">
        <v>66</v>
      </c>
      <c r="R28" s="1415"/>
      <c r="S28" s="1"/>
    </row>
    <row r="29" spans="1:20" ht="15.75" customHeight="1">
      <c r="A29" s="20"/>
      <c r="B29" s="55"/>
      <c r="C29" s="913" t="s">
        <v>72</v>
      </c>
      <c r="D29" s="1319"/>
      <c r="E29" s="62"/>
      <c r="F29" s="326"/>
      <c r="G29" s="11" t="s">
        <v>73</v>
      </c>
      <c r="H29" s="80" t="s">
        <v>74</v>
      </c>
      <c r="I29" s="488"/>
      <c r="J29" s="40"/>
      <c r="K29" s="906" t="s">
        <v>182</v>
      </c>
      <c r="L29" s="913">
        <v>24</v>
      </c>
      <c r="M29" s="1684"/>
      <c r="N29" s="40"/>
      <c r="O29" s="950"/>
      <c r="P29" s="1682" t="s">
        <v>541</v>
      </c>
      <c r="Q29" s="12" t="s">
        <v>540</v>
      </c>
      <c r="R29" s="35"/>
      <c r="S29" s="1"/>
    </row>
    <row r="30" spans="1:20" ht="15.75" customHeight="1">
      <c r="A30" s="20"/>
      <c r="B30" s="1926" t="s">
        <v>923</v>
      </c>
      <c r="C30" s="1927"/>
      <c r="D30" s="1673"/>
      <c r="E30" s="62"/>
      <c r="F30" s="961"/>
      <c r="G30" s="962" t="s">
        <v>75</v>
      </c>
      <c r="H30" s="962" t="s">
        <v>489</v>
      </c>
      <c r="I30" s="963"/>
      <c r="J30" s="40"/>
      <c r="K30" s="1928" t="s">
        <v>923</v>
      </c>
      <c r="L30" s="1929"/>
      <c r="M30" s="1688"/>
      <c r="N30" s="40"/>
      <c r="O30" s="1568"/>
      <c r="P30" s="1690" t="s">
        <v>81</v>
      </c>
      <c r="Q30" s="1691" t="s">
        <v>788</v>
      </c>
      <c r="R30" s="1415"/>
      <c r="S30" s="1"/>
    </row>
    <row r="31" spans="1:20" ht="15.75" customHeight="1">
      <c r="A31" s="20"/>
      <c r="B31" s="906" t="s">
        <v>182</v>
      </c>
      <c r="C31" s="913">
        <v>39</v>
      </c>
      <c r="D31" s="1319"/>
      <c r="E31" s="62"/>
      <c r="F31" s="326"/>
      <c r="G31" s="11" t="s">
        <v>503</v>
      </c>
      <c r="H31" s="80" t="s">
        <v>924</v>
      </c>
      <c r="I31" s="488"/>
      <c r="J31" s="40"/>
      <c r="K31" s="446">
        <v>72</v>
      </c>
      <c r="L31" s="1366">
        <v>144</v>
      </c>
      <c r="M31" s="1372"/>
      <c r="N31" s="478"/>
      <c r="O31" s="950"/>
      <c r="P31" s="1566" t="s">
        <v>1389</v>
      </c>
      <c r="Q31" s="471" t="s">
        <v>700</v>
      </c>
      <c r="R31" s="299">
        <f>19800/1.19</f>
        <v>16638.655462184874</v>
      </c>
      <c r="S31" s="1"/>
    </row>
    <row r="32" spans="1:20" ht="15.75" customHeight="1">
      <c r="A32" s="20"/>
      <c r="B32" s="965" t="s">
        <v>9</v>
      </c>
      <c r="C32" s="964">
        <v>5</v>
      </c>
      <c r="D32" s="1673"/>
      <c r="E32" s="62"/>
      <c r="F32" s="961"/>
      <c r="G32" s="962" t="s">
        <v>15</v>
      </c>
      <c r="H32" s="962" t="s">
        <v>77</v>
      </c>
      <c r="I32" s="963"/>
      <c r="J32" s="40"/>
      <c r="K32" s="1685">
        <v>2</v>
      </c>
      <c r="L32" s="1416">
        <v>5</v>
      </c>
      <c r="M32" s="1687"/>
      <c r="N32" s="40"/>
      <c r="O32" s="1692"/>
      <c r="P32" s="1690" t="s">
        <v>15</v>
      </c>
      <c r="Q32" s="1693" t="s">
        <v>767</v>
      </c>
      <c r="R32" s="1694"/>
      <c r="S32" s="565">
        <f>R31/30</f>
        <v>554.62184873949582</v>
      </c>
      <c r="T32" s="469" t="str">
        <f>"+iva = $660"</f>
        <v>+iva = $660</v>
      </c>
    </row>
    <row r="33" spans="1:20" ht="15.75" customHeight="1">
      <c r="A33" s="20"/>
      <c r="B33" s="55" t="s">
        <v>9</v>
      </c>
      <c r="C33" s="913">
        <v>5</v>
      </c>
      <c r="D33" s="1674"/>
      <c r="E33" s="62"/>
      <c r="F33" s="326"/>
      <c r="G33" s="11" t="s">
        <v>15</v>
      </c>
      <c r="H33" s="80" t="s">
        <v>385</v>
      </c>
      <c r="I33" s="488"/>
      <c r="J33" s="40"/>
      <c r="K33" s="906" t="s">
        <v>182</v>
      </c>
      <c r="L33" s="1296">
        <v>8</v>
      </c>
      <c r="M33" s="1319"/>
      <c r="N33" s="478"/>
      <c r="O33" s="950"/>
      <c r="P33" s="1682" t="s">
        <v>15</v>
      </c>
      <c r="Q33" s="1683" t="s">
        <v>1390</v>
      </c>
      <c r="R33" s="299"/>
    </row>
    <row r="34" spans="1:20" ht="15.75" customHeight="1" thickBot="1">
      <c r="A34" s="20"/>
      <c r="B34" s="965" t="s">
        <v>9</v>
      </c>
      <c r="C34" s="964">
        <v>12</v>
      </c>
      <c r="D34" s="1673"/>
      <c r="E34" s="62"/>
      <c r="F34" s="961"/>
      <c r="G34" s="962" t="s">
        <v>46</v>
      </c>
      <c r="H34" s="962" t="s">
        <v>78</v>
      </c>
      <c r="I34" s="963"/>
      <c r="J34" s="64"/>
      <c r="K34" s="1928" t="s">
        <v>923</v>
      </c>
      <c r="L34" s="1929"/>
      <c r="M34" s="1686"/>
      <c r="N34" s="597"/>
      <c r="O34" s="1695"/>
      <c r="P34" s="1696" t="s">
        <v>71</v>
      </c>
      <c r="Q34" s="1697" t="s">
        <v>1093</v>
      </c>
      <c r="R34" s="1698"/>
      <c r="S34" s="1"/>
    </row>
    <row r="35" spans="1:20" ht="15.75" customHeight="1">
      <c r="A35" s="20"/>
      <c r="B35" s="55" t="s">
        <v>9</v>
      </c>
      <c r="C35" s="913">
        <v>12</v>
      </c>
      <c r="D35" s="1674"/>
      <c r="E35" s="62"/>
      <c r="F35" s="326"/>
      <c r="G35" s="11" t="s">
        <v>65</v>
      </c>
      <c r="H35" s="80" t="s">
        <v>80</v>
      </c>
      <c r="I35" s="488"/>
      <c r="J35" s="40"/>
      <c r="K35" s="1941" t="s">
        <v>995</v>
      </c>
      <c r="L35" s="1942"/>
      <c r="M35" s="1942"/>
      <c r="N35" s="1942"/>
      <c r="O35" s="1942"/>
      <c r="P35" s="1942"/>
      <c r="Q35" s="1942"/>
      <c r="R35" s="1943"/>
      <c r="S35"/>
      <c r="T35"/>
    </row>
    <row r="36" spans="1:20" ht="15.75" customHeight="1" thickBot="1">
      <c r="A36" s="20"/>
      <c r="B36" s="965" t="s">
        <v>9</v>
      </c>
      <c r="C36" s="964">
        <v>4</v>
      </c>
      <c r="D36" s="1673"/>
      <c r="E36" s="62"/>
      <c r="F36" s="961"/>
      <c r="G36" s="962" t="s">
        <v>82</v>
      </c>
      <c r="H36" s="962" t="s">
        <v>83</v>
      </c>
      <c r="I36" s="963"/>
      <c r="J36" s="40"/>
      <c r="K36" s="1944"/>
      <c r="L36" s="1945"/>
      <c r="M36" s="1945"/>
      <c r="N36" s="1945"/>
      <c r="O36" s="1945"/>
      <c r="P36" s="1945"/>
      <c r="Q36" s="1945"/>
      <c r="R36" s="1946"/>
      <c r="S36"/>
      <c r="T36"/>
    </row>
    <row r="37" spans="1:20" ht="15.75" customHeight="1" thickBot="1">
      <c r="A37" s="20"/>
      <c r="B37" s="55" t="s">
        <v>9</v>
      </c>
      <c r="C37" s="913" t="s">
        <v>72</v>
      </c>
      <c r="D37" s="1674"/>
      <c r="E37" s="62"/>
      <c r="F37" s="326"/>
      <c r="G37" s="11" t="s">
        <v>82</v>
      </c>
      <c r="H37" s="80" t="s">
        <v>84</v>
      </c>
      <c r="I37" s="488"/>
      <c r="J37" s="40"/>
      <c r="K37" s="40"/>
      <c r="L37" s="40"/>
      <c r="M37" s="40"/>
      <c r="N37" s="40"/>
      <c r="O37" s="40"/>
      <c r="P37" s="40"/>
      <c r="Q37" s="40"/>
      <c r="R37" s="168"/>
      <c r="S37"/>
      <c r="T37"/>
    </row>
    <row r="38" spans="1:20" ht="15.75">
      <c r="A38" s="20"/>
      <c r="B38" s="965" t="s">
        <v>9</v>
      </c>
      <c r="C38" s="964" t="s">
        <v>72</v>
      </c>
      <c r="D38" s="1673"/>
      <c r="E38" s="62"/>
      <c r="F38" s="961"/>
      <c r="G38" s="962" t="s">
        <v>336</v>
      </c>
      <c r="H38" s="962" t="s">
        <v>85</v>
      </c>
      <c r="I38" s="963"/>
      <c r="J38" s="40"/>
      <c r="K38" s="1912" t="s">
        <v>640</v>
      </c>
      <c r="L38" s="1913"/>
      <c r="M38" s="1914" t="s">
        <v>1174</v>
      </c>
      <c r="N38" s="121"/>
      <c r="O38" s="1918" t="s">
        <v>466</v>
      </c>
      <c r="P38" s="1971"/>
      <c r="Q38" s="90" t="s">
        <v>50</v>
      </c>
      <c r="R38" s="167" t="s">
        <v>723</v>
      </c>
      <c r="S38"/>
      <c r="T38"/>
    </row>
    <row r="39" spans="1:20" ht="15.75">
      <c r="A39" s="20"/>
      <c r="B39" s="55" t="s">
        <v>9</v>
      </c>
      <c r="C39" s="913" t="s">
        <v>72</v>
      </c>
      <c r="D39" s="1674"/>
      <c r="E39" s="62"/>
      <c r="F39" s="326"/>
      <c r="G39" s="11" t="s">
        <v>82</v>
      </c>
      <c r="H39" s="80" t="s">
        <v>925</v>
      </c>
      <c r="I39" s="488"/>
      <c r="J39" s="40"/>
      <c r="K39" s="28" t="s">
        <v>5</v>
      </c>
      <c r="L39" s="912" t="s">
        <v>6</v>
      </c>
      <c r="M39" s="1917"/>
      <c r="N39" s="40"/>
      <c r="O39" s="1972"/>
      <c r="P39" s="1973"/>
      <c r="Q39" s="498" t="s">
        <v>51</v>
      </c>
      <c r="R39" s="82"/>
      <c r="S39"/>
      <c r="T39"/>
    </row>
    <row r="40" spans="1:20" ht="15.75" customHeight="1">
      <c r="A40" s="20"/>
      <c r="B40" s="965" t="s">
        <v>9</v>
      </c>
      <c r="C40" s="964" t="s">
        <v>72</v>
      </c>
      <c r="D40" s="1673"/>
      <c r="E40" s="62"/>
      <c r="F40" s="961"/>
      <c r="G40" s="962" t="s">
        <v>82</v>
      </c>
      <c r="H40" s="962" t="s">
        <v>88</v>
      </c>
      <c r="I40" s="963"/>
      <c r="J40" s="40"/>
      <c r="K40" s="31">
        <v>2</v>
      </c>
      <c r="L40" s="1231">
        <v>6</v>
      </c>
      <c r="M40" s="1378"/>
      <c r="N40" s="40"/>
      <c r="O40" s="330"/>
      <c r="P40" s="12" t="s">
        <v>76</v>
      </c>
      <c r="Q40" s="387" t="s">
        <v>654</v>
      </c>
      <c r="R40" s="373"/>
    </row>
    <row r="41" spans="1:20" ht="15.75" customHeight="1">
      <c r="A41" s="20"/>
      <c r="B41" s="55" t="s">
        <v>9</v>
      </c>
      <c r="C41" s="913" t="s">
        <v>72</v>
      </c>
      <c r="D41" s="1674"/>
      <c r="E41" s="62"/>
      <c r="F41" s="326"/>
      <c r="G41" s="11" t="s">
        <v>82</v>
      </c>
      <c r="H41" s="80" t="s">
        <v>91</v>
      </c>
      <c r="I41" s="488"/>
      <c r="J41" s="40"/>
      <c r="K41" s="33">
        <v>2</v>
      </c>
      <c r="L41" s="1233">
        <v>6</v>
      </c>
      <c r="M41" s="1379"/>
      <c r="N41" s="40"/>
      <c r="O41" s="329"/>
      <c r="P41" s="10" t="s">
        <v>76</v>
      </c>
      <c r="Q41" s="10" t="s">
        <v>764</v>
      </c>
      <c r="R41" s="57"/>
    </row>
    <row r="42" spans="1:20" ht="15.75" customHeight="1">
      <c r="A42" s="20"/>
      <c r="B42" s="965" t="s">
        <v>9</v>
      </c>
      <c r="C42" s="964">
        <v>18</v>
      </c>
      <c r="D42" s="1673"/>
      <c r="E42" s="62"/>
      <c r="F42" s="961"/>
      <c r="G42" s="962" t="s">
        <v>93</v>
      </c>
      <c r="H42" s="962" t="s">
        <v>94</v>
      </c>
      <c r="I42" s="963"/>
      <c r="J42" s="40"/>
      <c r="K42" s="906" t="s">
        <v>182</v>
      </c>
      <c r="L42" s="1231">
        <f>28*3</f>
        <v>84</v>
      </c>
      <c r="M42" s="1380"/>
      <c r="N42" s="40"/>
      <c r="O42" s="1382"/>
      <c r="P42" s="12" t="s">
        <v>76</v>
      </c>
      <c r="Q42" s="12" t="s">
        <v>1391</v>
      </c>
      <c r="R42" s="35"/>
    </row>
    <row r="43" spans="1:20" ht="15.75" customHeight="1">
      <c r="A43" s="20"/>
      <c r="B43" s="55" t="s">
        <v>9</v>
      </c>
      <c r="C43" s="913">
        <v>4</v>
      </c>
      <c r="D43" s="1674"/>
      <c r="E43" s="62"/>
      <c r="F43" s="326"/>
      <c r="G43" s="11" t="s">
        <v>787</v>
      </c>
      <c r="H43" s="80" t="s">
        <v>786</v>
      </c>
      <c r="I43" s="488"/>
      <c r="J43" s="40"/>
      <c r="K43" s="1928" t="s">
        <v>923</v>
      </c>
      <c r="L43" s="1929"/>
      <c r="M43" s="1379"/>
      <c r="N43" s="40"/>
      <c r="O43" s="329"/>
      <c r="P43" s="10" t="s">
        <v>76</v>
      </c>
      <c r="Q43" s="10" t="s">
        <v>79</v>
      </c>
      <c r="R43" s="57"/>
    </row>
    <row r="44" spans="1:20" ht="15.75" customHeight="1" thickBot="1">
      <c r="A44" s="20"/>
      <c r="B44" s="965">
        <v>3</v>
      </c>
      <c r="C44" s="964">
        <v>5</v>
      </c>
      <c r="D44" s="1673"/>
      <c r="E44" s="62"/>
      <c r="F44" s="961"/>
      <c r="G44" s="962" t="s">
        <v>96</v>
      </c>
      <c r="H44" s="962" t="s">
        <v>97</v>
      </c>
      <c r="I44" s="963"/>
      <c r="J44" s="40"/>
      <c r="K44" s="1930" t="s">
        <v>923</v>
      </c>
      <c r="L44" s="1931"/>
      <c r="M44" s="1381"/>
      <c r="N44" s="58"/>
      <c r="O44" s="389"/>
      <c r="P44" s="566" t="s">
        <v>653</v>
      </c>
      <c r="Q44" s="566" t="s">
        <v>784</v>
      </c>
      <c r="R44" s="155"/>
    </row>
    <row r="45" spans="1:20" ht="15.75" customHeight="1" thickBot="1">
      <c r="A45" s="20"/>
      <c r="B45" s="55" t="s">
        <v>9</v>
      </c>
      <c r="C45" s="913">
        <v>2</v>
      </c>
      <c r="D45" s="1674"/>
      <c r="E45" s="62"/>
      <c r="F45" s="326"/>
      <c r="G45" s="11" t="s">
        <v>98</v>
      </c>
      <c r="H45" s="80" t="s">
        <v>99</v>
      </c>
      <c r="I45" s="488"/>
      <c r="J45" s="64"/>
      <c r="K45" s="64"/>
      <c r="L45" s="64"/>
      <c r="M45" s="64"/>
      <c r="N45" s="64"/>
      <c r="O45" s="64"/>
      <c r="P45" s="64"/>
      <c r="Q45" s="64"/>
      <c r="R45" s="491"/>
    </row>
    <row r="46" spans="1:20" ht="15.75" customHeight="1">
      <c r="B46" s="965" t="s">
        <v>9</v>
      </c>
      <c r="C46" s="964">
        <v>2</v>
      </c>
      <c r="D46" s="1673"/>
      <c r="E46" s="62"/>
      <c r="F46" s="961"/>
      <c r="G46" s="962" t="s">
        <v>662</v>
      </c>
      <c r="H46" s="962" t="s">
        <v>663</v>
      </c>
      <c r="I46" s="963"/>
      <c r="J46" s="64"/>
      <c r="K46" s="1912" t="s">
        <v>640</v>
      </c>
      <c r="L46" s="1962"/>
      <c r="M46" s="1953" t="s">
        <v>1174</v>
      </c>
      <c r="N46" s="66"/>
      <c r="O46" s="1938" t="s">
        <v>398</v>
      </c>
      <c r="P46" s="1965"/>
      <c r="Q46" s="94" t="s">
        <v>429</v>
      </c>
      <c r="R46" s="436" t="s">
        <v>723</v>
      </c>
    </row>
    <row r="47" spans="1:20" ht="15.75">
      <c r="A47" s="20"/>
      <c r="B47" s="55" t="s">
        <v>9</v>
      </c>
      <c r="C47" s="913" t="s">
        <v>9</v>
      </c>
      <c r="D47" s="1674"/>
      <c r="E47" s="62"/>
      <c r="F47" s="326"/>
      <c r="G47" s="11" t="s">
        <v>34</v>
      </c>
      <c r="H47" s="80" t="s">
        <v>527</v>
      </c>
      <c r="I47" s="488"/>
      <c r="J47" s="40"/>
      <c r="K47" s="245" t="s">
        <v>5</v>
      </c>
      <c r="L47" s="246" t="s">
        <v>6</v>
      </c>
      <c r="M47" s="1954"/>
      <c r="N47" s="67"/>
      <c r="O47" s="1966"/>
      <c r="P47" s="1967"/>
      <c r="Q47" s="164" t="s">
        <v>301</v>
      </c>
      <c r="R47" s="492"/>
      <c r="S47" s="1" t="s">
        <v>785</v>
      </c>
    </row>
    <row r="48" spans="1:20" ht="15.75" customHeight="1">
      <c r="A48" s="20"/>
      <c r="B48" s="965" t="s">
        <v>9</v>
      </c>
      <c r="C48" s="964" t="s">
        <v>72</v>
      </c>
      <c r="D48" s="1673"/>
      <c r="E48" s="62"/>
      <c r="F48" s="961"/>
      <c r="G48" s="962" t="s">
        <v>101</v>
      </c>
      <c r="H48" s="962" t="s">
        <v>528</v>
      </c>
      <c r="I48" s="963"/>
      <c r="J48" s="40"/>
      <c r="K48" s="463" t="s">
        <v>9</v>
      </c>
      <c r="L48" s="464">
        <v>1</v>
      </c>
      <c r="M48" s="1389"/>
      <c r="N48" s="465"/>
      <c r="O48" s="444"/>
      <c r="P48" s="1383" t="s">
        <v>293</v>
      </c>
      <c r="Q48" s="466" t="s">
        <v>403</v>
      </c>
      <c r="R48" s="467">
        <v>8500</v>
      </c>
    </row>
    <row r="49" spans="1:20" ht="15.75" customHeight="1">
      <c r="A49" s="20"/>
      <c r="B49" s="55" t="s">
        <v>9</v>
      </c>
      <c r="C49" s="913" t="s">
        <v>72</v>
      </c>
      <c r="D49" s="1674"/>
      <c r="E49" s="62"/>
      <c r="F49" s="326"/>
      <c r="G49" s="11" t="s">
        <v>101</v>
      </c>
      <c r="H49" s="80" t="s">
        <v>783</v>
      </c>
      <c r="I49" s="488"/>
      <c r="J49" s="40"/>
      <c r="K49" s="267">
        <v>2</v>
      </c>
      <c r="L49" s="268">
        <v>5</v>
      </c>
      <c r="M49" s="1390"/>
      <c r="N49" s="124"/>
      <c r="O49" s="1387"/>
      <c r="P49" s="1384" t="s">
        <v>11</v>
      </c>
      <c r="Q49" s="269" t="s">
        <v>789</v>
      </c>
      <c r="R49" s="266">
        <v>4450</v>
      </c>
    </row>
    <row r="50" spans="1:20" ht="15.75" customHeight="1">
      <c r="A50" s="20"/>
      <c r="B50" s="965" t="s">
        <v>9</v>
      </c>
      <c r="C50" s="964" t="s">
        <v>72</v>
      </c>
      <c r="D50" s="1673"/>
      <c r="E50" s="62"/>
      <c r="F50" s="961"/>
      <c r="G50" s="962" t="s">
        <v>101</v>
      </c>
      <c r="H50" s="962" t="s">
        <v>783</v>
      </c>
      <c r="I50" s="963"/>
      <c r="J50" s="40"/>
      <c r="K50" s="271">
        <v>2</v>
      </c>
      <c r="L50" s="272">
        <v>5</v>
      </c>
      <c r="M50" s="1391"/>
      <c r="N50" s="124"/>
      <c r="O50" s="950"/>
      <c r="P50" s="1385" t="s">
        <v>11</v>
      </c>
      <c r="Q50" s="216" t="s">
        <v>639</v>
      </c>
      <c r="R50" s="273">
        <v>4590</v>
      </c>
      <c r="S50" s="173"/>
    </row>
    <row r="51" spans="1:20" ht="15.75" customHeight="1" thickBot="1">
      <c r="A51" s="20"/>
      <c r="B51" s="55" t="s">
        <v>9</v>
      </c>
      <c r="C51" s="913">
        <v>3</v>
      </c>
      <c r="D51" s="1674"/>
      <c r="E51" s="62"/>
      <c r="F51" s="326"/>
      <c r="G51" s="11" t="s">
        <v>103</v>
      </c>
      <c r="H51" s="80" t="s">
        <v>104</v>
      </c>
      <c r="I51" s="488"/>
      <c r="J51" s="40"/>
      <c r="K51" s="908" t="s">
        <v>182</v>
      </c>
      <c r="L51" s="129">
        <v>1</v>
      </c>
      <c r="M51" s="1392"/>
      <c r="N51" s="68"/>
      <c r="O51" s="1388"/>
      <c r="P51" s="1386" t="s">
        <v>531</v>
      </c>
      <c r="Q51" s="132" t="s">
        <v>530</v>
      </c>
      <c r="R51" s="532">
        <v>4510</v>
      </c>
      <c r="S51" s="173"/>
      <c r="T51" s="470" t="s">
        <v>770</v>
      </c>
    </row>
    <row r="52" spans="1:20" ht="15.75" customHeight="1" thickBot="1">
      <c r="A52" s="20"/>
      <c r="B52" s="1926" t="s">
        <v>923</v>
      </c>
      <c r="C52" s="1927"/>
      <c r="D52" s="1675"/>
      <c r="E52" s="62"/>
      <c r="F52" s="961"/>
      <c r="G52" s="962" t="s">
        <v>488</v>
      </c>
      <c r="H52" s="962" t="s">
        <v>524</v>
      </c>
      <c r="I52" s="963"/>
      <c r="J52" s="40"/>
      <c r="K52" s="64"/>
      <c r="L52" s="64"/>
      <c r="N52" s="64"/>
      <c r="O52" s="64"/>
      <c r="P52" s="64"/>
      <c r="Q52" s="64"/>
      <c r="R52" s="491"/>
      <c r="S52" s="173"/>
      <c r="T52" s="470" t="s">
        <v>771</v>
      </c>
    </row>
    <row r="53" spans="1:20" ht="15.75" customHeight="1">
      <c r="A53" s="20"/>
      <c r="B53" s="55" t="s">
        <v>9</v>
      </c>
      <c r="C53" s="913">
        <v>9</v>
      </c>
      <c r="D53" s="1674"/>
      <c r="E53" s="62"/>
      <c r="F53" s="326"/>
      <c r="G53" s="11" t="s">
        <v>76</v>
      </c>
      <c r="H53" s="80" t="s">
        <v>926</v>
      </c>
      <c r="I53" s="488"/>
      <c r="J53" s="40"/>
      <c r="K53" s="1912" t="s">
        <v>640</v>
      </c>
      <c r="L53" s="1962"/>
      <c r="M53" s="1953" t="s">
        <v>1174</v>
      </c>
      <c r="N53" s="530"/>
      <c r="O53" s="1938" t="s">
        <v>760</v>
      </c>
      <c r="P53" s="1965"/>
      <c r="Q53" s="94" t="s">
        <v>758</v>
      </c>
      <c r="R53" s="756" t="s">
        <v>3</v>
      </c>
      <c r="S53" s="173"/>
      <c r="T53" s="470" t="s">
        <v>772</v>
      </c>
    </row>
    <row r="54" spans="1:20" ht="15.75" customHeight="1">
      <c r="A54" s="20"/>
      <c r="B54" s="965" t="s">
        <v>9</v>
      </c>
      <c r="C54" s="964">
        <v>10</v>
      </c>
      <c r="D54" s="1673"/>
      <c r="E54" s="62"/>
      <c r="F54" s="961"/>
      <c r="G54" s="962" t="s">
        <v>593</v>
      </c>
      <c r="H54" s="962" t="s">
        <v>594</v>
      </c>
      <c r="I54" s="963"/>
      <c r="J54" s="40"/>
      <c r="K54" s="28" t="s">
        <v>5</v>
      </c>
      <c r="L54" s="8" t="s">
        <v>6</v>
      </c>
      <c r="M54" s="1954"/>
      <c r="N54" s="158"/>
      <c r="O54" s="1966"/>
      <c r="P54" s="1967"/>
      <c r="Q54" s="142" t="s">
        <v>757</v>
      </c>
      <c r="R54" s="82" t="s">
        <v>138</v>
      </c>
      <c r="S54" s="173"/>
      <c r="T54" s="470" t="s">
        <v>774</v>
      </c>
    </row>
    <row r="55" spans="1:20" ht="15.75" customHeight="1">
      <c r="A55" s="20"/>
      <c r="B55" s="55" t="s">
        <v>9</v>
      </c>
      <c r="C55" s="913">
        <v>3</v>
      </c>
      <c r="D55" s="1674"/>
      <c r="E55" s="481"/>
      <c r="F55" s="326"/>
      <c r="G55" s="11" t="s">
        <v>57</v>
      </c>
      <c r="H55" s="80" t="s">
        <v>1362</v>
      </c>
      <c r="I55" s="488"/>
      <c r="J55" s="40"/>
      <c r="K55" s="531">
        <v>150</v>
      </c>
      <c r="L55" s="526">
        <v>400</v>
      </c>
      <c r="M55" s="1375"/>
      <c r="N55" s="158"/>
      <c r="O55" s="1905"/>
      <c r="P55" s="527" t="s">
        <v>11</v>
      </c>
      <c r="Q55" s="528" t="s">
        <v>756</v>
      </c>
      <c r="R55" s="529">
        <v>1303</v>
      </c>
      <c r="S55" s="173"/>
    </row>
    <row r="56" spans="1:20" ht="15.75" customHeight="1" thickBot="1">
      <c r="A56" s="20"/>
      <c r="B56" s="965" t="s">
        <v>9</v>
      </c>
      <c r="C56" s="964">
        <v>24</v>
      </c>
      <c r="D56" s="1673"/>
      <c r="E56" s="481"/>
      <c r="F56" s="961"/>
      <c r="G56" s="962" t="s">
        <v>11</v>
      </c>
      <c r="H56" s="962" t="s">
        <v>106</v>
      </c>
      <c r="I56" s="963"/>
      <c r="J56" s="40"/>
      <c r="K56" s="386" t="s">
        <v>9</v>
      </c>
      <c r="L56" s="385">
        <v>40</v>
      </c>
      <c r="M56" s="1376"/>
      <c r="N56" s="159"/>
      <c r="O56" s="1422"/>
      <c r="P56" s="384" t="s">
        <v>11</v>
      </c>
      <c r="Q56" s="384" t="s">
        <v>759</v>
      </c>
      <c r="R56" s="564">
        <v>9748</v>
      </c>
      <c r="S56" s="173"/>
    </row>
    <row r="57" spans="1:20" ht="15.75" customHeight="1" thickBot="1">
      <c r="A57" s="20"/>
      <c r="B57" s="55" t="s">
        <v>9</v>
      </c>
      <c r="C57" s="913">
        <v>6</v>
      </c>
      <c r="D57" s="1674"/>
      <c r="E57" s="481"/>
      <c r="F57" s="326"/>
      <c r="G57" s="11" t="s">
        <v>107</v>
      </c>
      <c r="H57" s="80" t="s">
        <v>108</v>
      </c>
      <c r="I57" s="488"/>
      <c r="J57" s="40"/>
      <c r="K57" s="1130"/>
      <c r="L57" s="64"/>
      <c r="M57" s="64"/>
      <c r="N57" s="64"/>
      <c r="O57" s="64"/>
      <c r="P57" s="64"/>
      <c r="Q57" s="64"/>
      <c r="R57" s="217"/>
      <c r="S57" s="173"/>
    </row>
    <row r="58" spans="1:20" ht="15.75" customHeight="1">
      <c r="A58" s="20"/>
      <c r="B58" s="906" t="s">
        <v>182</v>
      </c>
      <c r="C58" s="966" t="s">
        <v>9</v>
      </c>
      <c r="D58" s="1674"/>
      <c r="E58" s="62"/>
      <c r="F58" s="961"/>
      <c r="G58" s="962" t="s">
        <v>27</v>
      </c>
      <c r="H58" s="962" t="s">
        <v>648</v>
      </c>
      <c r="I58" s="963"/>
      <c r="J58" s="40"/>
      <c r="K58" s="715"/>
      <c r="L58" s="1131"/>
      <c r="M58" s="1377"/>
      <c r="N58" s="61"/>
      <c r="O58" s="1405"/>
      <c r="P58" s="1591" t="s">
        <v>1106</v>
      </c>
      <c r="Q58" s="1132" t="s">
        <v>1261</v>
      </c>
      <c r="R58" s="1148" t="s">
        <v>1112</v>
      </c>
      <c r="S58" s="173"/>
    </row>
    <row r="59" spans="1:20" ht="15.75" customHeight="1" thickBot="1">
      <c r="A59" s="20"/>
      <c r="B59" s="190" t="s">
        <v>9</v>
      </c>
      <c r="C59" s="917">
        <v>8</v>
      </c>
      <c r="D59" s="1673"/>
      <c r="E59" s="481"/>
      <c r="F59" s="326"/>
      <c r="G59" s="11" t="s">
        <v>267</v>
      </c>
      <c r="H59" s="80" t="s">
        <v>266</v>
      </c>
      <c r="I59" s="488"/>
      <c r="J59" s="40"/>
      <c r="K59" s="482"/>
      <c r="L59" s="1601"/>
      <c r="M59" s="1374"/>
      <c r="N59" s="81"/>
      <c r="O59" s="1602"/>
      <c r="P59" s="1603" t="s">
        <v>1108</v>
      </c>
      <c r="Q59" s="1604" t="s">
        <v>1107</v>
      </c>
      <c r="R59" s="1149" t="s">
        <v>1112</v>
      </c>
      <c r="S59" s="173"/>
    </row>
    <row r="60" spans="1:20" ht="15.75" customHeight="1" thickBot="1">
      <c r="A60" s="20"/>
      <c r="B60" s="967" t="s">
        <v>9</v>
      </c>
      <c r="C60" s="966">
        <v>2</v>
      </c>
      <c r="D60" s="1674"/>
      <c r="E60" s="481"/>
      <c r="F60" s="961"/>
      <c r="G60" s="962" t="s">
        <v>262</v>
      </c>
      <c r="H60" s="962" t="s">
        <v>263</v>
      </c>
      <c r="I60" s="963"/>
      <c r="J60" s="40"/>
      <c r="K60" s="40"/>
      <c r="L60" s="40"/>
      <c r="M60" s="40"/>
      <c r="N60" s="40"/>
      <c r="O60" s="40"/>
      <c r="P60" s="40"/>
      <c r="Q60" s="40"/>
      <c r="R60" s="168"/>
      <c r="S60" s="173"/>
    </row>
    <row r="61" spans="1:20" ht="15.75" customHeight="1">
      <c r="A61" s="20"/>
      <c r="B61" s="190" t="s">
        <v>9</v>
      </c>
      <c r="C61" s="917">
        <v>24</v>
      </c>
      <c r="D61" s="1673"/>
      <c r="E61" s="481"/>
      <c r="F61" s="326"/>
      <c r="G61" s="11" t="s">
        <v>46</v>
      </c>
      <c r="H61" s="80" t="s">
        <v>418</v>
      </c>
      <c r="I61" s="488"/>
      <c r="J61" s="40"/>
      <c r="K61" s="1912" t="s">
        <v>640</v>
      </c>
      <c r="L61" s="1916"/>
      <c r="M61" s="1955" t="s">
        <v>1174</v>
      </c>
      <c r="N61" s="180"/>
      <c r="O61" s="1971" t="s">
        <v>333</v>
      </c>
      <c r="P61" s="1968"/>
      <c r="Q61" s="495" t="s">
        <v>337</v>
      </c>
      <c r="R61" s="436" t="s">
        <v>723</v>
      </c>
      <c r="S61" s="173"/>
    </row>
    <row r="62" spans="1:20" ht="15.75" customHeight="1">
      <c r="A62" s="20"/>
      <c r="B62" s="967">
        <v>10</v>
      </c>
      <c r="C62" s="966">
        <v>15</v>
      </c>
      <c r="D62" s="1674"/>
      <c r="E62" s="481"/>
      <c r="F62" s="961"/>
      <c r="G62" s="962" t="s">
        <v>65</v>
      </c>
      <c r="H62" s="962" t="s">
        <v>113</v>
      </c>
      <c r="I62" s="963"/>
      <c r="J62" s="40"/>
      <c r="K62" s="28" t="s">
        <v>5</v>
      </c>
      <c r="L62" s="287" t="s">
        <v>6</v>
      </c>
      <c r="M62" s="1956"/>
      <c r="N62" s="1290"/>
      <c r="O62" s="1974"/>
      <c r="P62" s="1975"/>
      <c r="Q62" s="29" t="s">
        <v>427</v>
      </c>
      <c r="R62" s="37" t="s">
        <v>138</v>
      </c>
      <c r="S62" s="173"/>
    </row>
    <row r="63" spans="1:20" ht="15.75" customHeight="1">
      <c r="A63" s="20"/>
      <c r="B63" s="190">
        <v>10</v>
      </c>
      <c r="C63" s="917">
        <v>15</v>
      </c>
      <c r="D63" s="1673"/>
      <c r="E63" s="481"/>
      <c r="F63" s="326"/>
      <c r="G63" s="11" t="s">
        <v>65</v>
      </c>
      <c r="H63" s="80" t="s">
        <v>114</v>
      </c>
      <c r="I63" s="488"/>
      <c r="J63" s="40"/>
      <c r="K63" s="906" t="s">
        <v>182</v>
      </c>
      <c r="L63" s="287">
        <v>6</v>
      </c>
      <c r="M63" s="418"/>
      <c r="N63" s="1290"/>
      <c r="O63" s="1780"/>
      <c r="P63" s="254" t="s">
        <v>11</v>
      </c>
      <c r="Q63" s="29" t="s">
        <v>605</v>
      </c>
      <c r="R63" s="285">
        <v>4900</v>
      </c>
      <c r="S63" s="173"/>
    </row>
    <row r="64" spans="1:20" ht="15.75" customHeight="1">
      <c r="A64" s="20"/>
      <c r="B64" s="967" t="s">
        <v>9</v>
      </c>
      <c r="C64" s="966">
        <v>36</v>
      </c>
      <c r="D64" s="1674"/>
      <c r="E64" s="481"/>
      <c r="F64" s="961"/>
      <c r="G64" s="962" t="s">
        <v>46</v>
      </c>
      <c r="H64" s="962" t="s">
        <v>525</v>
      </c>
      <c r="I64" s="963"/>
      <c r="J64" s="40"/>
      <c r="K64" s="281" t="s">
        <v>9</v>
      </c>
      <c r="L64" s="1778">
        <v>6</v>
      </c>
      <c r="M64" s="1775"/>
      <c r="N64" s="1290"/>
      <c r="O64" s="1781"/>
      <c r="P64" s="283" t="s">
        <v>11</v>
      </c>
      <c r="Q64" s="282" t="s">
        <v>604</v>
      </c>
      <c r="R64" s="284">
        <v>4900</v>
      </c>
      <c r="S64" s="173"/>
    </row>
    <row r="65" spans="1:20" ht="15.75" customHeight="1">
      <c r="A65" s="20"/>
      <c r="B65" s="190" t="s">
        <v>9</v>
      </c>
      <c r="C65" s="917">
        <v>2</v>
      </c>
      <c r="D65" s="1673"/>
      <c r="E65" s="481"/>
      <c r="F65" s="326"/>
      <c r="G65" s="11" t="s">
        <v>11</v>
      </c>
      <c r="H65" s="80" t="s">
        <v>120</v>
      </c>
      <c r="I65" s="488"/>
      <c r="J65" s="40"/>
      <c r="K65" s="31" t="s">
        <v>9</v>
      </c>
      <c r="L65" s="30">
        <v>50</v>
      </c>
      <c r="M65" s="1776"/>
      <c r="N65" s="67"/>
      <c r="O65" s="1423"/>
      <c r="P65" s="12" t="s">
        <v>11</v>
      </c>
      <c r="Q65" s="12" t="s">
        <v>1256</v>
      </c>
      <c r="R65" s="35">
        <v>7200</v>
      </c>
      <c r="S65" s="173"/>
    </row>
    <row r="66" spans="1:20" ht="15.75" customHeight="1">
      <c r="A66" s="20"/>
      <c r="B66" s="967" t="s">
        <v>9</v>
      </c>
      <c r="C66" s="966">
        <v>2</v>
      </c>
      <c r="D66" s="1674"/>
      <c r="E66" s="481"/>
      <c r="F66" s="961"/>
      <c r="G66" s="962" t="s">
        <v>11</v>
      </c>
      <c r="H66" s="962" t="s">
        <v>123</v>
      </c>
      <c r="I66" s="963"/>
      <c r="J66" s="40"/>
      <c r="K66" s="125" t="s">
        <v>9</v>
      </c>
      <c r="L66" s="126">
        <v>40</v>
      </c>
      <c r="M66" s="1775"/>
      <c r="N66" s="67"/>
      <c r="O66" s="1407"/>
      <c r="P66" s="212" t="s">
        <v>11</v>
      </c>
      <c r="Q66" s="212" t="s">
        <v>360</v>
      </c>
      <c r="R66" s="128">
        <v>5450</v>
      </c>
      <c r="S66" s="173"/>
    </row>
    <row r="67" spans="1:20" ht="15.75" customHeight="1">
      <c r="A67" s="20"/>
      <c r="B67" s="190" t="s">
        <v>9</v>
      </c>
      <c r="C67" s="917" t="s">
        <v>72</v>
      </c>
      <c r="D67" s="1673"/>
      <c r="E67" s="481"/>
      <c r="F67" s="326"/>
      <c r="G67" s="11" t="s">
        <v>11</v>
      </c>
      <c r="H67" s="80" t="s">
        <v>124</v>
      </c>
      <c r="I67" s="488"/>
      <c r="J67" s="40"/>
      <c r="K67" s="31" t="s">
        <v>1392</v>
      </c>
      <c r="L67" s="30">
        <v>1</v>
      </c>
      <c r="M67" s="1776"/>
      <c r="N67" s="67"/>
      <c r="O67" s="1423"/>
      <c r="P67" s="12" t="s">
        <v>247</v>
      </c>
      <c r="Q67" s="165" t="s">
        <v>585</v>
      </c>
      <c r="R67" s="261">
        <v>3200</v>
      </c>
      <c r="S67" s="173"/>
    </row>
    <row r="68" spans="1:20" ht="15.75" customHeight="1">
      <c r="A68" s="20"/>
      <c r="B68" s="967" t="s">
        <v>9</v>
      </c>
      <c r="C68" s="966">
        <v>2</v>
      </c>
      <c r="D68" s="1674"/>
      <c r="E68" s="481"/>
      <c r="F68" s="961"/>
      <c r="G68" s="962" t="s">
        <v>15</v>
      </c>
      <c r="H68" s="962" t="s">
        <v>125</v>
      </c>
      <c r="I68" s="963"/>
      <c r="J68" s="40"/>
      <c r="K68" s="906" t="s">
        <v>182</v>
      </c>
      <c r="L68" s="126">
        <v>2</v>
      </c>
      <c r="M68" s="1777"/>
      <c r="N68" s="67"/>
      <c r="O68" s="1407"/>
      <c r="P68" s="213" t="s">
        <v>592</v>
      </c>
      <c r="Q68" s="244" t="s">
        <v>586</v>
      </c>
      <c r="R68" s="264">
        <v>7900</v>
      </c>
      <c r="S68" s="173"/>
    </row>
    <row r="69" spans="1:20" ht="15.75" customHeight="1">
      <c r="A69" s="20"/>
      <c r="B69" s="209" t="s">
        <v>9</v>
      </c>
      <c r="C69" s="915">
        <v>2</v>
      </c>
      <c r="D69" s="1674"/>
      <c r="E69" s="1735"/>
      <c r="F69" s="523"/>
      <c r="G69" s="524" t="s">
        <v>15</v>
      </c>
      <c r="H69" s="524" t="s">
        <v>1363</v>
      </c>
      <c r="I69" s="525"/>
      <c r="J69" s="40"/>
      <c r="K69" s="1976" t="s">
        <v>923</v>
      </c>
      <c r="L69" s="1977"/>
      <c r="M69" s="418"/>
      <c r="N69" s="67"/>
      <c r="O69" s="334"/>
      <c r="P69" s="12" t="s">
        <v>762</v>
      </c>
      <c r="Q69" s="165" t="s">
        <v>763</v>
      </c>
      <c r="R69" s="264">
        <v>24950</v>
      </c>
      <c r="S69" s="173"/>
    </row>
    <row r="70" spans="1:20" ht="15.75" customHeight="1">
      <c r="A70" s="20"/>
      <c r="B70" s="965" t="s">
        <v>9</v>
      </c>
      <c r="C70" s="964">
        <v>5</v>
      </c>
      <c r="D70" s="1673"/>
      <c r="E70" s="1735"/>
      <c r="F70" s="1736"/>
      <c r="G70" s="1737" t="s">
        <v>310</v>
      </c>
      <c r="H70" s="1738" t="s">
        <v>486</v>
      </c>
      <c r="I70" s="1739"/>
      <c r="J70" s="40"/>
      <c r="K70" s="1978" t="s">
        <v>923</v>
      </c>
      <c r="L70" s="1979"/>
      <c r="M70" s="1777"/>
      <c r="N70" s="67"/>
      <c r="O70" s="1407"/>
      <c r="P70" s="212" t="s">
        <v>762</v>
      </c>
      <c r="Q70" s="262" t="s">
        <v>769</v>
      </c>
      <c r="R70" s="264">
        <v>4400</v>
      </c>
      <c r="S70" s="173"/>
    </row>
    <row r="71" spans="1:20" ht="15.75" customHeight="1">
      <c r="A71" s="20"/>
      <c r="B71" s="209" t="s">
        <v>9</v>
      </c>
      <c r="C71" s="915">
        <v>2</v>
      </c>
      <c r="D71" s="1674"/>
      <c r="E71" s="1735"/>
      <c r="F71" s="523"/>
      <c r="G71" s="524" t="s">
        <v>11</v>
      </c>
      <c r="H71" s="524" t="s">
        <v>822</v>
      </c>
      <c r="I71" s="525"/>
      <c r="J71" s="40"/>
      <c r="K71" s="1976" t="s">
        <v>923</v>
      </c>
      <c r="L71" s="1977"/>
      <c r="M71" s="418"/>
      <c r="N71" s="67"/>
      <c r="O71" s="334"/>
      <c r="P71" s="510" t="s">
        <v>762</v>
      </c>
      <c r="Q71" s="884" t="s">
        <v>906</v>
      </c>
      <c r="R71" s="264">
        <v>6600</v>
      </c>
      <c r="S71" s="173"/>
    </row>
    <row r="72" spans="1:20" ht="15.75" customHeight="1">
      <c r="A72" s="20"/>
      <c r="B72" s="965" t="s">
        <v>9</v>
      </c>
      <c r="C72" s="964">
        <v>8</v>
      </c>
      <c r="D72" s="1673"/>
      <c r="E72" s="1735"/>
      <c r="F72" s="1736"/>
      <c r="G72" s="1737" t="s">
        <v>128</v>
      </c>
      <c r="H72" s="1738" t="s">
        <v>129</v>
      </c>
      <c r="I72" s="1739"/>
      <c r="J72" s="40"/>
      <c r="K72" s="125" t="s">
        <v>9</v>
      </c>
      <c r="L72" s="126">
        <v>3</v>
      </c>
      <c r="M72" s="1775"/>
      <c r="N72" s="67"/>
      <c r="O72" s="1407"/>
      <c r="P72" s="212" t="s">
        <v>247</v>
      </c>
      <c r="Q72" s="1816" t="s">
        <v>588</v>
      </c>
      <c r="R72" s="533">
        <v>7900</v>
      </c>
      <c r="S72" s="40"/>
      <c r="T72" s="40"/>
    </row>
    <row r="73" spans="1:20" ht="15.75" customHeight="1">
      <c r="A73" s="20"/>
      <c r="B73" s="209" t="s">
        <v>9</v>
      </c>
      <c r="C73" s="915">
        <v>6</v>
      </c>
      <c r="D73" s="1674"/>
      <c r="E73" s="1735"/>
      <c r="F73" s="523"/>
      <c r="G73" s="524" t="s">
        <v>405</v>
      </c>
      <c r="H73" s="524" t="s">
        <v>404</v>
      </c>
      <c r="I73" s="525"/>
      <c r="J73" s="40"/>
      <c r="K73" s="1980" t="s">
        <v>923</v>
      </c>
      <c r="L73" s="1981"/>
      <c r="M73" s="418"/>
      <c r="N73" s="67"/>
      <c r="O73" s="334"/>
      <c r="P73" s="12" t="s">
        <v>247</v>
      </c>
      <c r="Q73" s="165" t="s">
        <v>589</v>
      </c>
      <c r="R73" s="263">
        <v>5990</v>
      </c>
      <c r="S73" s="173"/>
    </row>
    <row r="74" spans="1:20" ht="15.75" customHeight="1">
      <c r="A74" s="20"/>
      <c r="B74" s="965" t="s">
        <v>9</v>
      </c>
      <c r="C74" s="964" t="s">
        <v>72</v>
      </c>
      <c r="D74" s="1673"/>
      <c r="E74" s="1735"/>
      <c r="F74" s="1736"/>
      <c r="G74" s="1737" t="s">
        <v>262</v>
      </c>
      <c r="H74" s="1738" t="s">
        <v>264</v>
      </c>
      <c r="I74" s="1739"/>
      <c r="J74" s="40"/>
      <c r="K74" s="1978" t="s">
        <v>923</v>
      </c>
      <c r="L74" s="1979"/>
      <c r="M74" s="1777"/>
      <c r="N74" s="67"/>
      <c r="O74" s="333"/>
      <c r="P74" s="212" t="s">
        <v>11</v>
      </c>
      <c r="Q74" s="534" t="s">
        <v>319</v>
      </c>
      <c r="R74" s="265">
        <v>8500</v>
      </c>
      <c r="S74" s="173"/>
    </row>
    <row r="75" spans="1:20" ht="15.75" customHeight="1">
      <c r="A75" s="20"/>
      <c r="B75" s="209" t="s">
        <v>9</v>
      </c>
      <c r="C75" s="915">
        <v>10</v>
      </c>
      <c r="D75" s="1674"/>
      <c r="E75" s="1735"/>
      <c r="F75" s="523"/>
      <c r="G75" s="524" t="s">
        <v>71</v>
      </c>
      <c r="H75" s="524" t="s">
        <v>133</v>
      </c>
      <c r="I75" s="525"/>
      <c r="J75" s="40"/>
      <c r="K75" s="1773" t="s">
        <v>182</v>
      </c>
      <c r="L75" s="1779">
        <v>1</v>
      </c>
      <c r="M75" s="1122"/>
      <c r="N75" s="67"/>
      <c r="O75" s="1782"/>
      <c r="P75" s="165" t="s">
        <v>247</v>
      </c>
      <c r="Q75" s="301" t="s">
        <v>320</v>
      </c>
      <c r="R75" s="1774"/>
      <c r="S75" s="173"/>
    </row>
    <row r="76" spans="1:20" ht="15.75" customHeight="1" thickBot="1">
      <c r="A76" s="20"/>
      <c r="B76" s="1750" t="s">
        <v>923</v>
      </c>
      <c r="C76" s="1751"/>
      <c r="D76" s="1364"/>
      <c r="E76" s="1735"/>
      <c r="F76" s="1736"/>
      <c r="G76" s="1737" t="s">
        <v>310</v>
      </c>
      <c r="H76" s="1738" t="s">
        <v>523</v>
      </c>
      <c r="I76" s="1739"/>
      <c r="J76" s="64"/>
      <c r="K76" s="1784">
        <v>5</v>
      </c>
      <c r="L76" s="1785">
        <v>10</v>
      </c>
      <c r="M76" s="1787"/>
      <c r="N76" s="1783"/>
      <c r="O76" s="1786"/>
      <c r="P76" s="1594" t="s">
        <v>156</v>
      </c>
      <c r="Q76" s="1789" t="s">
        <v>1372</v>
      </c>
      <c r="R76" s="1788">
        <v>3100</v>
      </c>
      <c r="S76" s="173"/>
    </row>
    <row r="77" spans="1:20" ht="15.75" customHeight="1" thickBot="1">
      <c r="A77" s="20"/>
      <c r="B77" s="209" t="s">
        <v>9</v>
      </c>
      <c r="C77" s="915">
        <v>2</v>
      </c>
      <c r="D77" s="1518"/>
      <c r="E77" s="1735"/>
      <c r="F77" s="523"/>
      <c r="G77" s="524" t="s">
        <v>136</v>
      </c>
      <c r="H77" s="524" t="s">
        <v>137</v>
      </c>
      <c r="I77" s="525"/>
      <c r="J77" s="1"/>
      <c r="K77" s="40"/>
      <c r="L77" s="40"/>
      <c r="M77" s="40"/>
      <c r="N77" s="40"/>
      <c r="O77" s="40"/>
      <c r="P77" s="40"/>
      <c r="Q77" s="40"/>
      <c r="R77" s="40"/>
    </row>
    <row r="78" spans="1:20" ht="15.75" customHeight="1">
      <c r="A78" s="20"/>
      <c r="B78" s="965" t="s">
        <v>9</v>
      </c>
      <c r="C78" s="964">
        <v>2</v>
      </c>
      <c r="D78" s="1673"/>
      <c r="E78" s="1735"/>
      <c r="F78" s="1736"/>
      <c r="G78" s="1737" t="s">
        <v>927</v>
      </c>
      <c r="H78" s="1738" t="s">
        <v>548</v>
      </c>
      <c r="I78" s="1739"/>
      <c r="J78" s="1"/>
      <c r="K78" s="1912" t="s">
        <v>640</v>
      </c>
      <c r="L78" s="1962"/>
      <c r="M78" s="1957" t="s">
        <v>1174</v>
      </c>
      <c r="N78" s="180"/>
      <c r="O78" s="1971" t="s">
        <v>176</v>
      </c>
      <c r="P78" s="1968"/>
      <c r="Q78" s="495" t="s">
        <v>339</v>
      </c>
      <c r="R78" s="436" t="s">
        <v>723</v>
      </c>
    </row>
    <row r="79" spans="1:20" ht="15.75" customHeight="1">
      <c r="A79" s="20"/>
      <c r="B79" s="209" t="s">
        <v>9</v>
      </c>
      <c r="C79" s="915">
        <v>12</v>
      </c>
      <c r="D79" s="1674"/>
      <c r="E79" s="1735"/>
      <c r="F79" s="523"/>
      <c r="G79" s="524" t="s">
        <v>11</v>
      </c>
      <c r="H79" s="524" t="s">
        <v>928</v>
      </c>
      <c r="I79" s="525"/>
      <c r="J79" s="1"/>
      <c r="K79" s="1934" t="s">
        <v>5</v>
      </c>
      <c r="L79" s="1960" t="s">
        <v>6</v>
      </c>
      <c r="M79" s="1958"/>
      <c r="N79" s="67"/>
      <c r="O79" s="1973"/>
      <c r="P79" s="1970"/>
      <c r="Q79" s="496" t="s">
        <v>255</v>
      </c>
      <c r="R79" s="82"/>
    </row>
    <row r="80" spans="1:20" ht="15.75" customHeight="1">
      <c r="A80" s="20"/>
      <c r="B80" s="965" t="s">
        <v>9</v>
      </c>
      <c r="C80" s="964">
        <v>12</v>
      </c>
      <c r="D80" s="1673"/>
      <c r="E80" s="1735"/>
      <c r="F80" s="1736"/>
      <c r="G80" s="1737" t="s">
        <v>15</v>
      </c>
      <c r="H80" s="1738" t="s">
        <v>140</v>
      </c>
      <c r="I80" s="1739"/>
      <c r="J80" s="1"/>
      <c r="K80" s="1935"/>
      <c r="L80" s="1961"/>
      <c r="M80" s="1959"/>
      <c r="N80" s="39"/>
      <c r="O80" s="1974"/>
      <c r="P80" s="1975"/>
      <c r="Q80" s="497" t="s">
        <v>178</v>
      </c>
      <c r="R80" s="493"/>
      <c r="S80"/>
    </row>
    <row r="81" spans="2:20" ht="15.75" customHeight="1">
      <c r="B81" s="209" t="s">
        <v>9</v>
      </c>
      <c r="C81" s="915">
        <v>1</v>
      </c>
      <c r="D81" s="1674"/>
      <c r="E81" s="1735"/>
      <c r="F81" s="523"/>
      <c r="G81" s="524" t="s">
        <v>141</v>
      </c>
      <c r="H81" s="524" t="s">
        <v>1162</v>
      </c>
      <c r="I81" s="525"/>
      <c r="J81" s="1"/>
      <c r="K81" s="1978" t="s">
        <v>923</v>
      </c>
      <c r="L81" s="1979"/>
      <c r="M81" s="920"/>
      <c r="N81" s="67"/>
      <c r="O81" s="333"/>
      <c r="P81" s="212" t="s">
        <v>11</v>
      </c>
      <c r="Q81" s="509" t="s">
        <v>741</v>
      </c>
      <c r="R81" s="426">
        <v>5490</v>
      </c>
      <c r="S81"/>
    </row>
    <row r="82" spans="2:20" ht="15.75" customHeight="1">
      <c r="B82" s="965" t="s">
        <v>9</v>
      </c>
      <c r="C82" s="964">
        <v>10</v>
      </c>
      <c r="D82" s="1673"/>
      <c r="E82" s="1735"/>
      <c r="F82" s="1736"/>
      <c r="G82" s="1737" t="s">
        <v>130</v>
      </c>
      <c r="H82" s="1738" t="s">
        <v>537</v>
      </c>
      <c r="I82" s="1739"/>
      <c r="K82" s="31">
        <v>4</v>
      </c>
      <c r="L82" s="30">
        <v>8</v>
      </c>
      <c r="M82" s="1373"/>
      <c r="N82" s="67"/>
      <c r="O82" s="1423"/>
      <c r="P82" s="12" t="s">
        <v>11</v>
      </c>
      <c r="Q82" s="12" t="s">
        <v>313</v>
      </c>
      <c r="R82" s="35"/>
      <c r="S82"/>
    </row>
    <row r="83" spans="2:20" ht="15.75" customHeight="1">
      <c r="B83" s="209" t="s">
        <v>9</v>
      </c>
      <c r="C83" s="915">
        <v>12</v>
      </c>
      <c r="D83" s="1674"/>
      <c r="E83" s="1735"/>
      <c r="F83" s="523"/>
      <c r="G83" s="524" t="s">
        <v>130</v>
      </c>
      <c r="H83" s="524" t="s">
        <v>538</v>
      </c>
      <c r="I83" s="525"/>
      <c r="K83" s="116" t="s">
        <v>182</v>
      </c>
      <c r="L83" s="274">
        <v>6</v>
      </c>
      <c r="M83" s="920"/>
      <c r="N83" s="67"/>
      <c r="O83" s="333"/>
      <c r="P83" s="212" t="s">
        <v>11</v>
      </c>
      <c r="Q83" s="212" t="s">
        <v>180</v>
      </c>
      <c r="R83" s="128">
        <v>5600</v>
      </c>
      <c r="S83"/>
    </row>
    <row r="84" spans="2:20" ht="15.75" customHeight="1">
      <c r="B84" s="965" t="s">
        <v>9</v>
      </c>
      <c r="C84" s="964">
        <v>2</v>
      </c>
      <c r="D84" s="1673"/>
      <c r="E84" s="1735"/>
      <c r="F84" s="1736"/>
      <c r="G84" s="1737" t="s">
        <v>487</v>
      </c>
      <c r="H84" s="1738" t="s">
        <v>485</v>
      </c>
      <c r="I84" s="1739"/>
      <c r="K84" s="116" t="s">
        <v>182</v>
      </c>
      <c r="L84" s="178">
        <v>40</v>
      </c>
      <c r="M84" s="919"/>
      <c r="N84" s="67"/>
      <c r="O84" s="334"/>
      <c r="P84" s="12" t="s">
        <v>11</v>
      </c>
      <c r="Q84" s="12" t="s">
        <v>261</v>
      </c>
      <c r="R84" s="103" t="s">
        <v>182</v>
      </c>
    </row>
    <row r="85" spans="2:20" ht="15.75" customHeight="1">
      <c r="B85" s="209" t="s">
        <v>9</v>
      </c>
      <c r="C85" s="915" t="s">
        <v>72</v>
      </c>
      <c r="D85" s="1674"/>
      <c r="E85" s="1735"/>
      <c r="F85" s="523"/>
      <c r="G85" s="524" t="s">
        <v>416</v>
      </c>
      <c r="H85" s="524" t="s">
        <v>417</v>
      </c>
      <c r="I85" s="525"/>
      <c r="J85" s="1"/>
      <c r="K85" s="1978" t="s">
        <v>923</v>
      </c>
      <c r="L85" s="1979"/>
      <c r="M85" s="1375"/>
      <c r="N85" s="67"/>
      <c r="O85" s="1407"/>
      <c r="P85" s="212" t="s">
        <v>11</v>
      </c>
      <c r="Q85" s="509" t="s">
        <v>1094</v>
      </c>
      <c r="R85" s="103">
        <v>6970</v>
      </c>
    </row>
    <row r="86" spans="2:20" ht="15.75" customHeight="1">
      <c r="B86" s="965" t="s">
        <v>9</v>
      </c>
      <c r="C86" s="964">
        <v>8</v>
      </c>
      <c r="D86" s="1673"/>
      <c r="E86" s="1735"/>
      <c r="F86" s="1736"/>
      <c r="G86" s="1737" t="s">
        <v>149</v>
      </c>
      <c r="H86" s="1738" t="s">
        <v>539</v>
      </c>
      <c r="I86" s="1739"/>
      <c r="K86" s="116" t="s">
        <v>182</v>
      </c>
      <c r="L86" s="30">
        <v>16</v>
      </c>
      <c r="M86" s="919"/>
      <c r="N86" s="67"/>
      <c r="O86" s="334"/>
      <c r="P86" s="12" t="s">
        <v>15</v>
      </c>
      <c r="Q86" s="12" t="s">
        <v>591</v>
      </c>
      <c r="R86" s="35">
        <v>8890</v>
      </c>
    </row>
    <row r="87" spans="2:20" ht="15.75" customHeight="1">
      <c r="B87" s="209" t="s">
        <v>9</v>
      </c>
      <c r="C87" s="915">
        <v>12</v>
      </c>
      <c r="D87" s="1674"/>
      <c r="E87" s="1735"/>
      <c r="F87" s="523"/>
      <c r="G87" s="524" t="s">
        <v>46</v>
      </c>
      <c r="H87" s="524" t="s">
        <v>246</v>
      </c>
      <c r="I87" s="489"/>
      <c r="K87" s="125">
        <v>8</v>
      </c>
      <c r="L87" s="126">
        <v>16</v>
      </c>
      <c r="M87" s="1375"/>
      <c r="N87" s="67"/>
      <c r="O87" s="1407"/>
      <c r="P87" s="212" t="s">
        <v>15</v>
      </c>
      <c r="Q87" s="212" t="s">
        <v>590</v>
      </c>
      <c r="R87" s="128">
        <v>10490</v>
      </c>
    </row>
    <row r="88" spans="2:20" ht="15.75" customHeight="1">
      <c r="B88" s="906" t="s">
        <v>182</v>
      </c>
      <c r="C88" s="964">
        <v>50</v>
      </c>
      <c r="D88" s="1673"/>
      <c r="E88" s="1735"/>
      <c r="F88" s="961"/>
      <c r="G88" s="1740" t="s">
        <v>15</v>
      </c>
      <c r="H88" s="1740" t="s">
        <v>650</v>
      </c>
      <c r="I88" s="490"/>
      <c r="K88" s="31" t="s">
        <v>72</v>
      </c>
      <c r="L88" s="30">
        <v>6</v>
      </c>
      <c r="M88" s="1373"/>
      <c r="N88" s="67"/>
      <c r="O88" s="335"/>
      <c r="P88" s="187" t="s">
        <v>11</v>
      </c>
      <c r="Q88" s="187" t="s">
        <v>421</v>
      </c>
      <c r="R88" s="177"/>
    </row>
    <row r="89" spans="2:20" ht="15.75" customHeight="1">
      <c r="B89" s="906" t="s">
        <v>182</v>
      </c>
      <c r="C89" s="917">
        <v>50</v>
      </c>
      <c r="D89" s="1674"/>
      <c r="E89" s="7"/>
      <c r="F89" s="523"/>
      <c r="G89" s="524" t="s">
        <v>15</v>
      </c>
      <c r="H89" s="524" t="s">
        <v>651</v>
      </c>
      <c r="I89" s="525"/>
      <c r="K89" s="114" t="s">
        <v>182</v>
      </c>
      <c r="L89" s="179">
        <v>30</v>
      </c>
      <c r="M89" s="920"/>
      <c r="N89" s="67"/>
      <c r="O89" s="333"/>
      <c r="P89" s="212" t="s">
        <v>11</v>
      </c>
      <c r="Q89" s="212" t="s">
        <v>406</v>
      </c>
      <c r="R89" s="883">
        <v>9790</v>
      </c>
      <c r="T89" s="1"/>
    </row>
    <row r="90" spans="2:20" ht="15.75" customHeight="1" thickBot="1">
      <c r="B90" s="1752"/>
      <c r="C90" s="1753"/>
      <c r="D90" s="1755"/>
      <c r="E90" s="7"/>
      <c r="F90" s="1756"/>
      <c r="G90" s="1757"/>
      <c r="H90" s="1758"/>
      <c r="I90" s="1759"/>
      <c r="K90" s="906" t="s">
        <v>182</v>
      </c>
      <c r="L90" s="178">
        <v>5</v>
      </c>
      <c r="M90" s="919"/>
      <c r="N90" s="67"/>
      <c r="O90" s="335"/>
      <c r="P90" s="187" t="s">
        <v>11</v>
      </c>
      <c r="Q90" s="187" t="s">
        <v>389</v>
      </c>
      <c r="R90" s="103">
        <v>18990</v>
      </c>
      <c r="T90" s="1"/>
    </row>
    <row r="91" spans="2:20" ht="15.75" customHeight="1" thickBot="1">
      <c r="B91" s="1726"/>
      <c r="C91" s="1727">
        <v>3</v>
      </c>
      <c r="D91" s="1676"/>
      <c r="E91" s="1111"/>
      <c r="F91" s="1745"/>
      <c r="G91" s="1746" t="s">
        <v>1099</v>
      </c>
      <c r="H91" s="1746" t="s">
        <v>1100</v>
      </c>
      <c r="I91" s="1747"/>
      <c r="K91" s="908" t="s">
        <v>182</v>
      </c>
      <c r="L91" s="923">
        <v>30</v>
      </c>
      <c r="M91" s="922"/>
      <c r="N91" s="279"/>
      <c r="O91" s="924"/>
      <c r="P91" s="513" t="s">
        <v>11</v>
      </c>
      <c r="Q91" s="513" t="s">
        <v>319</v>
      </c>
      <c r="R91" s="956"/>
      <c r="T91" s="1"/>
    </row>
    <row r="92" spans="2:20" ht="15.75" customHeight="1" thickBot="1">
      <c r="B92" s="1748"/>
      <c r="C92" s="1754"/>
      <c r="D92" s="1749"/>
      <c r="E92" s="1112"/>
      <c r="F92" s="1741"/>
      <c r="G92" s="1742"/>
      <c r="H92" s="1743"/>
      <c r="I92" s="1744"/>
      <c r="K92" s="762"/>
      <c r="L92" s="183"/>
      <c r="M92" s="1393"/>
      <c r="N92" s="67"/>
      <c r="O92" s="1424"/>
      <c r="P92" s="925" t="s">
        <v>11</v>
      </c>
      <c r="Q92" s="925" t="s">
        <v>890</v>
      </c>
      <c r="R92" s="926">
        <v>2850</v>
      </c>
      <c r="S92" s="1"/>
      <c r="T92" s="1"/>
    </row>
    <row r="93" spans="2:20" ht="15.75" customHeight="1" thickBot="1">
      <c r="K93" s="1982" t="s">
        <v>923</v>
      </c>
      <c r="L93" s="1983"/>
      <c r="M93" s="1129"/>
      <c r="N93" s="66"/>
      <c r="O93" s="927"/>
      <c r="P93" s="928" t="s">
        <v>11</v>
      </c>
      <c r="Q93" s="928" t="s">
        <v>192</v>
      </c>
      <c r="R93" s="929"/>
      <c r="S93" s="1"/>
      <c r="T93" s="1"/>
    </row>
    <row r="94" spans="2:20" ht="15.75" customHeight="1">
      <c r="B94" s="1912" t="s">
        <v>640</v>
      </c>
      <c r="C94" s="1913"/>
      <c r="D94" s="1914" t="s">
        <v>1174</v>
      </c>
      <c r="E94" s="61"/>
      <c r="F94" s="1938" t="s">
        <v>432</v>
      </c>
      <c r="G94" s="1939"/>
      <c r="H94" s="495" t="s">
        <v>281</v>
      </c>
      <c r="I94" s="436" t="s">
        <v>723</v>
      </c>
      <c r="K94" s="210">
        <v>1</v>
      </c>
      <c r="L94" s="1817">
        <v>2</v>
      </c>
      <c r="M94" s="1373"/>
      <c r="N94" s="67"/>
      <c r="O94" s="1423"/>
      <c r="P94" s="12" t="s">
        <v>11</v>
      </c>
      <c r="Q94" s="12" t="s">
        <v>186</v>
      </c>
      <c r="R94" s="35"/>
      <c r="S94" s="1"/>
      <c r="T94" s="1"/>
    </row>
    <row r="95" spans="2:20" ht="15.75" customHeight="1">
      <c r="B95" s="28" t="s">
        <v>5</v>
      </c>
      <c r="C95" s="912" t="s">
        <v>6</v>
      </c>
      <c r="D95" s="1915"/>
      <c r="E95" s="1398"/>
      <c r="F95" s="1935"/>
      <c r="G95" s="1940"/>
      <c r="H95" s="29" t="s">
        <v>433</v>
      </c>
      <c r="I95" s="176" t="s">
        <v>443</v>
      </c>
      <c r="K95" s="125">
        <v>1</v>
      </c>
      <c r="L95" s="126">
        <v>3</v>
      </c>
      <c r="M95" s="1373"/>
      <c r="N95" s="67"/>
      <c r="O95" s="1408"/>
      <c r="P95" s="275" t="s">
        <v>11</v>
      </c>
      <c r="Q95" s="275" t="s">
        <v>187</v>
      </c>
      <c r="R95" s="128"/>
      <c r="S95" s="1"/>
      <c r="T95" s="1"/>
    </row>
    <row r="96" spans="2:20" ht="15.75" customHeight="1">
      <c r="B96" s="1251" t="s">
        <v>9</v>
      </c>
      <c r="C96" s="1395">
        <v>1</v>
      </c>
      <c r="D96" s="1586"/>
      <c r="E96" s="1398"/>
      <c r="F96" s="1400"/>
      <c r="G96" s="1396" t="s">
        <v>143</v>
      </c>
      <c r="H96" s="1397" t="s">
        <v>434</v>
      </c>
      <c r="I96" s="419">
        <v>13000</v>
      </c>
      <c r="K96" s="1924" t="s">
        <v>923</v>
      </c>
      <c r="L96" s="1925"/>
      <c r="M96" s="919"/>
      <c r="N96" s="67"/>
      <c r="O96" s="334"/>
      <c r="P96" s="12" t="s">
        <v>11</v>
      </c>
      <c r="Q96" s="12" t="s">
        <v>565</v>
      </c>
      <c r="R96" s="35"/>
      <c r="S96" s="1"/>
    </row>
    <row r="97" spans="1:20" ht="15.75" customHeight="1">
      <c r="B97" s="1932" t="s">
        <v>923</v>
      </c>
      <c r="C97" s="1933"/>
      <c r="D97" s="1677"/>
      <c r="E97" s="1399"/>
      <c r="F97" s="1401"/>
      <c r="G97" s="52" t="s">
        <v>143</v>
      </c>
      <c r="H97" s="909" t="s">
        <v>435</v>
      </c>
      <c r="I97" s="441"/>
      <c r="K97" s="1978" t="s">
        <v>923</v>
      </c>
      <c r="L97" s="1979"/>
      <c r="M97" s="921"/>
      <c r="N97" s="67"/>
      <c r="O97" s="827"/>
      <c r="P97" s="275" t="s">
        <v>11</v>
      </c>
      <c r="Q97" s="275" t="s">
        <v>602</v>
      </c>
      <c r="R97" s="247" t="s">
        <v>182</v>
      </c>
      <c r="S97" s="7"/>
    </row>
    <row r="98" spans="1:20" ht="15.75" customHeight="1">
      <c r="B98" s="55" t="s">
        <v>9</v>
      </c>
      <c r="C98" s="913">
        <v>1</v>
      </c>
      <c r="D98" s="1319"/>
      <c r="E98" s="910"/>
      <c r="F98" s="695"/>
      <c r="G98" s="9" t="s">
        <v>143</v>
      </c>
      <c r="H98" s="29" t="s">
        <v>436</v>
      </c>
      <c r="I98" s="488"/>
      <c r="K98" s="1924" t="s">
        <v>923</v>
      </c>
      <c r="L98" s="1925"/>
      <c r="M98" s="919"/>
      <c r="N98" s="67"/>
      <c r="O98" s="334"/>
      <c r="P98" s="12" t="s">
        <v>11</v>
      </c>
      <c r="Q98" s="12" t="s">
        <v>564</v>
      </c>
      <c r="R98" s="35"/>
      <c r="S98" s="7"/>
    </row>
    <row r="99" spans="1:20" ht="15.75" customHeight="1">
      <c r="B99" s="56" t="s">
        <v>9</v>
      </c>
      <c r="C99" s="914">
        <v>10</v>
      </c>
      <c r="D99" s="1673"/>
      <c r="E99" s="910"/>
      <c r="F99" s="1098"/>
      <c r="G99" s="52" t="s">
        <v>143</v>
      </c>
      <c r="H99" s="15" t="s">
        <v>437</v>
      </c>
      <c r="I99" s="441">
        <v>5000</v>
      </c>
      <c r="K99" s="114" t="s">
        <v>182</v>
      </c>
      <c r="L99" s="126">
        <v>3</v>
      </c>
      <c r="M99" s="921"/>
      <c r="N99" s="67"/>
      <c r="O99" s="827"/>
      <c r="P99" s="275" t="s">
        <v>11</v>
      </c>
      <c r="Q99" s="275" t="s">
        <v>561</v>
      </c>
      <c r="R99" s="128"/>
      <c r="S99" s="7"/>
    </row>
    <row r="100" spans="1:20" ht="15.75" customHeight="1">
      <c r="B100" s="209"/>
      <c r="C100" s="915">
        <v>15</v>
      </c>
      <c r="D100" s="1674"/>
      <c r="E100" s="910"/>
      <c r="F100" s="1402"/>
      <c r="G100" s="9" t="s">
        <v>143</v>
      </c>
      <c r="H100" s="29" t="s">
        <v>438</v>
      </c>
      <c r="I100" s="177">
        <v>1850</v>
      </c>
      <c r="K100" s="291">
        <v>1</v>
      </c>
      <c r="L100" s="1818">
        <v>3</v>
      </c>
      <c r="M100" s="1373"/>
      <c r="N100" s="67"/>
      <c r="O100" s="1423"/>
      <c r="P100" s="12" t="s">
        <v>11</v>
      </c>
      <c r="Q100" s="12" t="s">
        <v>1393</v>
      </c>
      <c r="R100" s="35"/>
      <c r="S100" s="7"/>
    </row>
    <row r="101" spans="1:20" ht="15.75" customHeight="1" thickBot="1">
      <c r="B101" s="56"/>
      <c r="C101" s="914">
        <v>3</v>
      </c>
      <c r="D101" s="1673"/>
      <c r="E101" s="910"/>
      <c r="F101" s="1098"/>
      <c r="G101" s="52" t="s">
        <v>143</v>
      </c>
      <c r="H101" s="15" t="s">
        <v>439</v>
      </c>
      <c r="I101" s="441">
        <f>5042.02*1.19</f>
        <v>6000.0038000000004</v>
      </c>
      <c r="J101" s="1130"/>
      <c r="K101" s="109">
        <v>1</v>
      </c>
      <c r="L101" s="129">
        <v>3</v>
      </c>
      <c r="M101" s="1376"/>
      <c r="N101" s="279"/>
      <c r="O101" s="1409"/>
      <c r="P101" s="606" t="s">
        <v>11</v>
      </c>
      <c r="Q101" s="606" t="s">
        <v>615</v>
      </c>
      <c r="R101" s="300" t="s">
        <v>182</v>
      </c>
    </row>
    <row r="102" spans="1:20" ht="15.75" customHeight="1" thickBot="1">
      <c r="B102" s="209"/>
      <c r="C102" s="915">
        <v>4</v>
      </c>
      <c r="D102" s="1674"/>
      <c r="E102" s="910"/>
      <c r="F102" s="1402"/>
      <c r="G102" s="12" t="s">
        <v>149</v>
      </c>
      <c r="H102" s="29" t="s">
        <v>440</v>
      </c>
      <c r="I102" s="488">
        <v>5000</v>
      </c>
      <c r="J102" s="64"/>
      <c r="K102" s="1130"/>
      <c r="L102" s="64"/>
      <c r="M102" s="64"/>
      <c r="N102" s="64"/>
      <c r="O102" s="331"/>
      <c r="P102" s="64"/>
      <c r="Q102" s="64"/>
      <c r="R102" s="217"/>
    </row>
    <row r="103" spans="1:20" ht="15.75" customHeight="1" thickBot="1">
      <c r="B103" s="226"/>
      <c r="C103" s="916">
        <v>6</v>
      </c>
      <c r="D103" s="1674"/>
      <c r="E103" s="910"/>
      <c r="F103" s="1402"/>
      <c r="G103" s="212" t="s">
        <v>150</v>
      </c>
      <c r="H103" s="282" t="s">
        <v>442</v>
      </c>
      <c r="I103" s="826">
        <v>8990</v>
      </c>
      <c r="J103" s="64"/>
      <c r="K103" s="1139"/>
      <c r="L103" s="1140"/>
      <c r="M103" s="1394"/>
      <c r="N103" s="1141"/>
      <c r="O103" s="1410"/>
      <c r="P103" s="1142" t="s">
        <v>11</v>
      </c>
      <c r="Q103" s="1142" t="s">
        <v>1111</v>
      </c>
      <c r="R103" s="1143" t="s">
        <v>1112</v>
      </c>
      <c r="T103" s="27"/>
    </row>
    <row r="104" spans="1:20" ht="15.75" customHeight="1">
      <c r="A104" s="64"/>
      <c r="B104" s="906" t="s">
        <v>182</v>
      </c>
      <c r="C104" s="917">
        <v>15</v>
      </c>
      <c r="D104" s="1364"/>
      <c r="E104" s="911"/>
      <c r="F104" s="1403"/>
      <c r="G104" s="524" t="s">
        <v>152</v>
      </c>
      <c r="H104" s="907" t="s">
        <v>362</v>
      </c>
      <c r="I104" s="525"/>
      <c r="J104" s="64"/>
      <c r="K104" s="64"/>
      <c r="L104" s="64"/>
      <c r="M104" s="64"/>
      <c r="N104" s="64"/>
      <c r="O104" s="331"/>
      <c r="P104" s="64"/>
      <c r="Q104" s="64"/>
      <c r="R104" s="1963" t="s">
        <v>1048</v>
      </c>
    </row>
    <row r="105" spans="1:20" ht="15.75" customHeight="1" thickBot="1">
      <c r="A105" s="163"/>
      <c r="B105" s="908" t="s">
        <v>182</v>
      </c>
      <c r="C105" s="918">
        <v>15</v>
      </c>
      <c r="D105" s="1678"/>
      <c r="E105" s="81"/>
      <c r="F105" s="1404"/>
      <c r="G105" s="513" t="s">
        <v>383</v>
      </c>
      <c r="H105" s="132" t="s">
        <v>441</v>
      </c>
      <c r="I105" s="532">
        <v>6000</v>
      </c>
      <c r="R105" s="1963"/>
    </row>
    <row r="106" spans="1:20" ht="15.75" customHeight="1">
      <c r="B106" s="1589"/>
      <c r="C106" s="1589"/>
      <c r="D106" s="1589"/>
      <c r="E106" s="1589"/>
      <c r="F106" s="1589"/>
      <c r="G106" s="1589"/>
      <c r="H106" s="1589"/>
      <c r="I106" s="1589"/>
      <c r="J106" s="163"/>
      <c r="K106" s="163"/>
      <c r="L106" s="163"/>
      <c r="M106" s="163"/>
      <c r="N106" s="163"/>
      <c r="O106" s="353"/>
      <c r="P106" s="163"/>
      <c r="Q106" s="163"/>
      <c r="R106" s="1964"/>
    </row>
    <row r="107" spans="1:20" ht="15.75" customHeight="1"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</row>
    <row r="108" spans="1:20" ht="15.75" customHeight="1"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</row>
    <row r="109" spans="1:20" ht="15.75" customHeight="1">
      <c r="B109" s="64"/>
      <c r="C109" s="64"/>
      <c r="D109" s="64"/>
      <c r="E109" s="64"/>
      <c r="F109" s="64"/>
      <c r="G109" s="64"/>
      <c r="H109" s="64"/>
      <c r="I109" s="64"/>
      <c r="J109" s="64"/>
      <c r="M109" s="64"/>
      <c r="T109" s="27"/>
    </row>
    <row r="110" spans="1:20" ht="15.75" customHeight="1">
      <c r="B110" s="64"/>
      <c r="C110" s="64"/>
      <c r="D110" s="64"/>
      <c r="E110" s="64"/>
      <c r="F110" s="64"/>
      <c r="G110" s="64"/>
      <c r="H110" s="64"/>
      <c r="I110" s="64"/>
      <c r="J110" s="64"/>
      <c r="M110" s="64"/>
      <c r="S110" s="27"/>
      <c r="T110" s="27"/>
    </row>
    <row r="111" spans="1:20" ht="15.75" customHeight="1">
      <c r="B111" s="64"/>
      <c r="C111" s="64"/>
      <c r="D111" s="64"/>
      <c r="E111" s="64"/>
      <c r="F111" s="64"/>
      <c r="G111" s="64"/>
      <c r="H111" s="64"/>
      <c r="I111" s="64"/>
      <c r="J111" s="64"/>
      <c r="M111" s="64"/>
      <c r="S111" s="27"/>
      <c r="T111" s="27"/>
    </row>
    <row r="112" spans="1:20" ht="15.75" customHeight="1">
      <c r="B112" s="64"/>
      <c r="C112" s="64"/>
      <c r="D112" s="64"/>
      <c r="E112" s="64"/>
      <c r="F112" s="64"/>
      <c r="G112" s="64"/>
      <c r="H112" s="64"/>
      <c r="I112" s="64"/>
      <c r="J112" s="64"/>
      <c r="M112" s="64"/>
      <c r="S112"/>
      <c r="T112" s="27"/>
    </row>
    <row r="113" spans="1:20" ht="15.75" customHeight="1"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M113" s="64"/>
      <c r="S113"/>
      <c r="T113" s="27"/>
    </row>
    <row r="114" spans="1:20" ht="15.75" customHeight="1">
      <c r="B114" s="64"/>
      <c r="C114" s="64"/>
      <c r="D114" s="64"/>
      <c r="E114" s="64"/>
      <c r="F114" s="64"/>
      <c r="G114" s="64"/>
      <c r="H114" s="64"/>
      <c r="I114" s="64"/>
      <c r="J114" s="64"/>
      <c r="M114" s="64"/>
      <c r="S114"/>
      <c r="T114" s="27"/>
    </row>
    <row r="115" spans="1:20" ht="15.75" customHeight="1">
      <c r="B115" s="64"/>
      <c r="C115" s="64"/>
      <c r="D115" s="64"/>
      <c r="E115" s="64"/>
      <c r="F115" s="64"/>
      <c r="G115" s="64"/>
      <c r="H115" s="64"/>
      <c r="I115" s="64"/>
      <c r="J115" s="64"/>
      <c r="M115" s="64"/>
      <c r="S115"/>
      <c r="T115" s="27"/>
    </row>
    <row r="116" spans="1:20" ht="15.75" customHeight="1">
      <c r="B116" s="64"/>
      <c r="C116" s="64"/>
      <c r="D116" s="64"/>
      <c r="E116" s="64"/>
      <c r="F116" s="64"/>
      <c r="G116" s="64"/>
      <c r="H116" s="64"/>
      <c r="I116" s="64"/>
      <c r="J116" s="64"/>
      <c r="M116" s="64"/>
      <c r="S116"/>
      <c r="T116" s="27"/>
    </row>
    <row r="117" spans="1:20" ht="15.75" customHeight="1">
      <c r="C117" s="64"/>
      <c r="D117" s="64"/>
      <c r="E117" s="64"/>
      <c r="F117" s="327"/>
      <c r="G117" s="64"/>
      <c r="H117" s="64"/>
      <c r="I117" s="491"/>
      <c r="J117" s="64"/>
      <c r="M117" s="64"/>
      <c r="S117"/>
      <c r="T117" s="27"/>
    </row>
    <row r="118" spans="1:20" ht="15.75" customHeight="1">
      <c r="C118" s="64"/>
      <c r="D118" s="64"/>
      <c r="E118" s="64"/>
      <c r="F118" s="327"/>
      <c r="G118" s="64"/>
      <c r="H118" s="64"/>
      <c r="I118" s="491"/>
      <c r="J118" s="64"/>
      <c r="K118" s="64"/>
      <c r="L118" s="64"/>
      <c r="M118" s="75"/>
      <c r="N118" s="64"/>
      <c r="O118" s="331"/>
      <c r="P118" s="64"/>
      <c r="Q118" s="64"/>
      <c r="R118" s="491"/>
      <c r="S118" s="173"/>
      <c r="T118" s="27"/>
    </row>
    <row r="119" spans="1:20" ht="15.75" customHeight="1">
      <c r="C119" s="64"/>
      <c r="D119" s="64"/>
      <c r="E119" s="64"/>
      <c r="F119" s="327"/>
      <c r="G119" s="64"/>
      <c r="H119" s="64"/>
      <c r="I119" s="491"/>
      <c r="J119" s="75"/>
      <c r="K119" s="64"/>
      <c r="L119" s="40"/>
      <c r="M119" s="75"/>
      <c r="N119" s="40"/>
      <c r="O119" s="214"/>
      <c r="P119" s="40"/>
      <c r="Q119" s="40"/>
      <c r="R119" s="168"/>
      <c r="S119" s="173"/>
      <c r="T119" s="27"/>
    </row>
    <row r="120" spans="1:20" ht="15.75" customHeight="1">
      <c r="A120" s="20"/>
      <c r="C120" s="64"/>
      <c r="D120" s="64"/>
      <c r="E120" s="64"/>
      <c r="F120" s="327"/>
      <c r="G120" s="64"/>
      <c r="H120" s="64"/>
      <c r="I120" s="491"/>
      <c r="J120" s="75"/>
      <c r="K120" s="64"/>
      <c r="L120" s="64"/>
      <c r="M120" s="75"/>
      <c r="N120" s="64"/>
      <c r="O120" s="331"/>
      <c r="P120" s="64"/>
      <c r="Q120" s="64"/>
      <c r="R120" s="491"/>
      <c r="S120" s="173"/>
      <c r="T120" s="27"/>
    </row>
    <row r="121" spans="1:20" ht="15.75" customHeight="1">
      <c r="A121" s="20"/>
      <c r="C121" s="64"/>
      <c r="D121" s="64"/>
      <c r="E121" s="64"/>
      <c r="F121" s="327"/>
      <c r="G121" s="64"/>
      <c r="H121" s="64"/>
      <c r="I121" s="491"/>
      <c r="J121" s="75"/>
      <c r="K121" s="64"/>
      <c r="L121" s="64"/>
      <c r="M121" s="75"/>
      <c r="N121" s="64"/>
      <c r="O121" s="331"/>
      <c r="P121" s="64"/>
      <c r="Q121" s="64"/>
      <c r="R121" s="491"/>
      <c r="S121" s="173"/>
      <c r="T121" s="27"/>
    </row>
    <row r="122" spans="1:20" ht="15.75" customHeight="1">
      <c r="A122" s="20"/>
      <c r="C122" s="64"/>
      <c r="D122" s="64"/>
      <c r="E122" s="64"/>
      <c r="F122" s="327"/>
      <c r="G122" s="64"/>
      <c r="H122" s="64"/>
      <c r="I122" s="491"/>
      <c r="J122" s="75"/>
      <c r="K122" s="64"/>
      <c r="L122" s="64"/>
      <c r="M122" s="75"/>
      <c r="N122" s="64"/>
      <c r="O122" s="331"/>
      <c r="P122" s="64"/>
      <c r="Q122" s="64"/>
      <c r="R122" s="491"/>
      <c r="S122" s="173"/>
      <c r="T122" s="27"/>
    </row>
    <row r="123" spans="1:20" ht="15.75" customHeight="1">
      <c r="A123" s="20"/>
      <c r="B123" s="6"/>
      <c r="C123" s="75"/>
      <c r="D123" s="75"/>
      <c r="E123" s="75"/>
      <c r="F123" s="75"/>
      <c r="G123" s="75"/>
      <c r="H123" s="75"/>
      <c r="I123" s="95"/>
      <c r="J123" s="75"/>
      <c r="K123" s="64"/>
      <c r="L123" s="64"/>
      <c r="M123" s="75"/>
      <c r="N123" s="64"/>
      <c r="O123" s="331"/>
      <c r="P123" s="64"/>
      <c r="Q123" s="64"/>
      <c r="R123" s="491"/>
      <c r="S123" s="173"/>
      <c r="T123" s="27"/>
    </row>
    <row r="124" spans="1:20" ht="15.75" customHeight="1">
      <c r="A124" s="20"/>
      <c r="B124" s="6"/>
      <c r="C124" s="75"/>
      <c r="D124" s="75"/>
      <c r="E124" s="75"/>
      <c r="F124" s="75"/>
      <c r="G124" s="75"/>
      <c r="H124" s="75"/>
      <c r="I124" s="95"/>
      <c r="J124" s="75"/>
      <c r="K124" s="64"/>
      <c r="L124" s="64"/>
      <c r="M124" s="75"/>
      <c r="N124" s="64"/>
      <c r="O124" s="331"/>
      <c r="P124" s="64"/>
      <c r="Q124" s="64"/>
      <c r="R124" s="491"/>
      <c r="S124" s="173"/>
      <c r="T124" s="27"/>
    </row>
    <row r="125" spans="1:20" ht="15.75" customHeight="1">
      <c r="A125" s="20"/>
      <c r="B125" s="6"/>
      <c r="C125" s="75"/>
      <c r="D125" s="75"/>
      <c r="E125" s="75"/>
      <c r="F125" s="75"/>
      <c r="G125" s="75"/>
      <c r="H125" s="75"/>
      <c r="I125" s="95"/>
      <c r="J125" s="75"/>
      <c r="K125" s="64"/>
      <c r="L125" s="64"/>
      <c r="M125" s="75"/>
      <c r="N125" s="64"/>
      <c r="O125" s="331"/>
      <c r="P125" s="64"/>
      <c r="Q125" s="64"/>
      <c r="R125" s="491"/>
      <c r="S125" s="173"/>
      <c r="T125" s="27"/>
    </row>
    <row r="126" spans="1:20" ht="15.75" customHeight="1">
      <c r="A126" s="20"/>
      <c r="B126" s="6"/>
      <c r="C126" s="75"/>
      <c r="D126" s="75"/>
      <c r="E126" s="75"/>
      <c r="F126" s="75"/>
      <c r="G126" s="75"/>
      <c r="H126" s="75"/>
      <c r="I126" s="95"/>
      <c r="J126" s="75"/>
      <c r="K126" s="64"/>
      <c r="L126" s="64"/>
      <c r="M126" s="75"/>
      <c r="N126" s="64"/>
      <c r="O126" s="331"/>
      <c r="P126" s="64"/>
      <c r="Q126" s="64"/>
      <c r="R126" s="491"/>
      <c r="S126" s="173"/>
      <c r="T126" s="27"/>
    </row>
    <row r="127" spans="1:20" ht="15.75" customHeight="1">
      <c r="A127" s="20"/>
      <c r="B127" s="6"/>
      <c r="C127" s="75"/>
      <c r="D127" s="75"/>
      <c r="E127" s="75"/>
      <c r="F127" s="75"/>
      <c r="G127" s="75"/>
      <c r="H127" s="75"/>
      <c r="I127" s="95"/>
      <c r="J127" s="75"/>
      <c r="K127" s="64"/>
      <c r="L127" s="64"/>
      <c r="M127" s="75"/>
      <c r="N127" s="64"/>
      <c r="O127" s="331"/>
      <c r="P127" s="64"/>
      <c r="Q127" s="64"/>
      <c r="R127" s="491"/>
      <c r="S127" s="173"/>
      <c r="T127" s="27"/>
    </row>
    <row r="128" spans="1:20" ht="15.75" customHeight="1">
      <c r="A128" s="20"/>
      <c r="B128" s="6"/>
      <c r="C128" s="75"/>
      <c r="D128" s="75"/>
      <c r="E128" s="75"/>
      <c r="F128" s="75"/>
      <c r="G128" s="75"/>
      <c r="H128" s="75"/>
      <c r="I128" s="95"/>
      <c r="J128" s="75"/>
      <c r="K128" s="64"/>
      <c r="L128" s="64"/>
      <c r="M128" s="75"/>
      <c r="N128" s="64"/>
      <c r="O128" s="331"/>
      <c r="P128" s="64"/>
      <c r="Q128" s="64"/>
      <c r="R128" s="491"/>
      <c r="S128" s="173"/>
      <c r="T128" s="27"/>
    </row>
    <row r="129" spans="1:20" ht="15.75" customHeight="1">
      <c r="A129" s="20"/>
      <c r="B129" s="6"/>
      <c r="C129" s="75"/>
      <c r="D129" s="75"/>
      <c r="E129" s="75"/>
      <c r="F129" s="75"/>
      <c r="G129" s="75"/>
      <c r="H129" s="75"/>
      <c r="I129" s="95"/>
      <c r="J129" s="75"/>
      <c r="K129" s="64"/>
      <c r="L129" s="64"/>
      <c r="M129" s="6"/>
      <c r="N129" s="64"/>
      <c r="O129" s="331"/>
      <c r="P129" s="64"/>
      <c r="Q129" s="64"/>
      <c r="R129" s="491"/>
      <c r="S129" s="173"/>
      <c r="T129" s="27"/>
    </row>
    <row r="130" spans="1:20" ht="15.75" customHeight="1">
      <c r="A130" s="20"/>
      <c r="B130" s="6"/>
      <c r="C130" s="75"/>
      <c r="D130" s="75"/>
      <c r="E130" s="75"/>
      <c r="F130" s="75"/>
      <c r="G130" s="75"/>
      <c r="H130" s="75"/>
      <c r="I130" s="95"/>
      <c r="J130" s="75"/>
      <c r="K130" s="64"/>
      <c r="L130" s="64"/>
      <c r="M130" s="6"/>
      <c r="N130" s="64"/>
      <c r="O130" s="331"/>
      <c r="P130" s="64"/>
      <c r="Q130" s="64"/>
      <c r="R130" s="491"/>
      <c r="S130" s="173"/>
      <c r="T130" s="27"/>
    </row>
    <row r="131" spans="1:20" ht="15.75" customHeight="1">
      <c r="A131" s="20"/>
      <c r="B131" s="6"/>
      <c r="C131" s="75"/>
      <c r="D131" s="75"/>
      <c r="E131" s="75"/>
      <c r="F131" s="75"/>
      <c r="G131" s="75"/>
      <c r="H131" s="75"/>
      <c r="I131" s="95"/>
      <c r="J131" s="75"/>
      <c r="K131" s="64"/>
      <c r="L131" s="64"/>
      <c r="M131" s="6"/>
      <c r="N131" s="64"/>
      <c r="O131" s="331"/>
      <c r="P131" s="64"/>
      <c r="Q131" s="64"/>
      <c r="R131" s="491"/>
      <c r="S131" s="173"/>
      <c r="T131" s="27"/>
    </row>
    <row r="132" spans="1:20" ht="15.75" customHeight="1">
      <c r="A132" s="20"/>
      <c r="B132" s="6"/>
      <c r="C132" s="75"/>
      <c r="D132" s="75"/>
      <c r="E132" s="75"/>
      <c r="F132" s="75"/>
      <c r="G132" s="75"/>
      <c r="H132" s="75"/>
      <c r="I132" s="95"/>
      <c r="J132" s="75"/>
      <c r="K132" s="64"/>
      <c r="L132" s="64"/>
      <c r="M132" s="6"/>
      <c r="N132" s="64"/>
      <c r="O132" s="331"/>
      <c r="P132" s="64"/>
      <c r="Q132" s="64"/>
      <c r="R132" s="491"/>
      <c r="S132" s="173"/>
      <c r="T132" s="27"/>
    </row>
    <row r="133" spans="1:20" ht="15.75" customHeight="1">
      <c r="A133" s="20"/>
      <c r="B133" s="6"/>
      <c r="C133" s="75"/>
      <c r="D133" s="75"/>
      <c r="E133" s="75"/>
      <c r="F133" s="75"/>
      <c r="G133" s="75"/>
      <c r="H133" s="75"/>
      <c r="I133" s="95"/>
      <c r="J133" s="75"/>
      <c r="K133" s="64"/>
      <c r="L133" s="64"/>
      <c r="M133" s="6"/>
      <c r="N133" s="64"/>
      <c r="O133" s="331"/>
      <c r="P133" s="64"/>
      <c r="Q133" s="64"/>
      <c r="R133" s="491"/>
      <c r="S133" s="173"/>
      <c r="T133" s="27"/>
    </row>
    <row r="134" spans="1:20" ht="15.75" customHeight="1">
      <c r="A134" s="20"/>
      <c r="B134" s="6"/>
      <c r="C134" s="6"/>
      <c r="D134" s="6"/>
      <c r="E134" s="6"/>
      <c r="F134" s="6"/>
      <c r="G134" s="6"/>
      <c r="H134" s="6"/>
      <c r="I134" s="20"/>
      <c r="J134" s="75"/>
      <c r="K134" s="64"/>
      <c r="L134" s="64"/>
      <c r="M134" s="6"/>
      <c r="N134" s="64"/>
      <c r="O134" s="331"/>
      <c r="P134" s="64"/>
      <c r="Q134" s="64"/>
      <c r="R134" s="491"/>
      <c r="S134" s="173"/>
      <c r="T134" s="27"/>
    </row>
    <row r="135" spans="1:20" ht="15.75" customHeight="1">
      <c r="A135" s="20"/>
      <c r="B135" s="6"/>
      <c r="C135" s="6"/>
      <c r="D135" s="6"/>
      <c r="E135" s="6"/>
      <c r="F135" s="6"/>
      <c r="G135" s="6"/>
      <c r="H135" s="6"/>
      <c r="I135" s="20"/>
      <c r="J135" s="6"/>
      <c r="K135" s="64"/>
      <c r="L135" s="64"/>
      <c r="M135" s="6"/>
      <c r="N135" s="64"/>
      <c r="O135" s="331"/>
      <c r="P135" s="64"/>
      <c r="Q135" s="64"/>
      <c r="R135" s="491"/>
      <c r="S135" s="173"/>
      <c r="T135" s="27"/>
    </row>
    <row r="136" spans="1:20" ht="15.75" customHeight="1">
      <c r="A136" s="20"/>
      <c r="B136" s="6"/>
      <c r="C136" s="6"/>
      <c r="D136" s="6"/>
      <c r="E136" s="6"/>
      <c r="F136" s="6"/>
      <c r="G136" s="6"/>
      <c r="H136" s="6"/>
      <c r="I136" s="20"/>
      <c r="J136" s="6"/>
      <c r="K136" s="64"/>
      <c r="L136" s="64"/>
      <c r="M136" s="6"/>
      <c r="N136" s="64"/>
      <c r="O136" s="331"/>
      <c r="P136" s="64"/>
      <c r="Q136" s="64"/>
      <c r="R136" s="491"/>
      <c r="S136" s="173"/>
      <c r="T136" s="27"/>
    </row>
    <row r="137" spans="1:20" ht="15.75" customHeight="1">
      <c r="A137" s="20"/>
      <c r="B137" s="6"/>
      <c r="C137" s="6"/>
      <c r="D137" s="6"/>
      <c r="E137" s="6"/>
      <c r="F137" s="6"/>
      <c r="G137" s="6"/>
      <c r="H137" s="6"/>
      <c r="I137" s="20"/>
      <c r="J137" s="6"/>
      <c r="K137" s="64"/>
      <c r="L137" s="64"/>
      <c r="M137" s="6"/>
      <c r="N137" s="64"/>
      <c r="O137" s="331"/>
      <c r="P137" s="64"/>
      <c r="Q137" s="64"/>
      <c r="R137" s="491"/>
      <c r="S137" s="64"/>
      <c r="T137" s="27"/>
    </row>
    <row r="138" spans="1:20" ht="15.75" customHeight="1">
      <c r="A138" s="20"/>
      <c r="B138" s="6"/>
      <c r="C138" s="6"/>
      <c r="D138" s="6"/>
      <c r="E138" s="6"/>
      <c r="F138" s="6"/>
      <c r="G138" s="6"/>
      <c r="H138" s="6"/>
      <c r="I138" s="20"/>
      <c r="J138" s="6"/>
      <c r="K138" s="64"/>
      <c r="L138" s="64"/>
      <c r="M138" s="6"/>
      <c r="N138" s="64"/>
      <c r="O138" s="331"/>
      <c r="P138" s="64"/>
      <c r="Q138" s="64"/>
      <c r="R138" s="491"/>
      <c r="S138" s="64"/>
      <c r="T138" s="27"/>
    </row>
    <row r="139" spans="1:20" ht="15.75" customHeight="1">
      <c r="A139" s="20"/>
      <c r="B139" s="6"/>
      <c r="C139" s="6"/>
      <c r="D139" s="6"/>
      <c r="E139" s="6"/>
      <c r="F139" s="6"/>
      <c r="G139" s="6"/>
      <c r="H139" s="6"/>
      <c r="I139" s="20"/>
      <c r="J139" s="6"/>
      <c r="K139" s="64"/>
      <c r="L139" s="64"/>
      <c r="M139" s="6"/>
      <c r="N139" s="64"/>
      <c r="O139" s="331"/>
      <c r="P139" s="64"/>
      <c r="Q139" s="64"/>
      <c r="R139" s="491"/>
      <c r="S139" s="64"/>
      <c r="T139" s="27"/>
    </row>
    <row r="140" spans="1:20" ht="15.75" customHeight="1">
      <c r="A140" s="20"/>
      <c r="B140" s="6"/>
      <c r="C140" s="6"/>
      <c r="D140" s="6"/>
      <c r="E140" s="6"/>
      <c r="F140" s="6"/>
      <c r="G140" s="6"/>
      <c r="H140" s="6"/>
      <c r="I140" s="20"/>
      <c r="J140" s="6"/>
      <c r="K140" s="64"/>
      <c r="L140" s="64"/>
      <c r="M140" s="6"/>
      <c r="N140" s="64"/>
      <c r="O140" s="331"/>
      <c r="P140" s="64"/>
      <c r="Q140" s="64"/>
      <c r="R140" s="491"/>
      <c r="S140" s="64"/>
      <c r="T140" s="27"/>
    </row>
    <row r="141" spans="1:20" ht="15.75" customHeight="1">
      <c r="A141" s="20"/>
      <c r="B141" s="6"/>
      <c r="C141" s="6"/>
      <c r="D141" s="6"/>
      <c r="E141" s="6"/>
      <c r="F141" s="6"/>
      <c r="G141" s="6"/>
      <c r="H141" s="6"/>
      <c r="I141" s="20"/>
      <c r="J141" s="6"/>
      <c r="K141" s="64"/>
      <c r="L141" s="64"/>
      <c r="M141" s="6"/>
      <c r="N141" s="64"/>
      <c r="O141" s="331"/>
      <c r="P141" s="64"/>
      <c r="Q141" s="64"/>
      <c r="R141" s="491"/>
      <c r="S141" s="173"/>
      <c r="T141" s="27"/>
    </row>
    <row r="142" spans="1:20" ht="15.75" customHeight="1">
      <c r="A142" s="20"/>
      <c r="B142" s="6"/>
      <c r="C142" s="6"/>
      <c r="D142" s="6"/>
      <c r="E142" s="6"/>
      <c r="F142" s="6"/>
      <c r="G142" s="6"/>
      <c r="H142" s="6"/>
      <c r="I142" s="20"/>
      <c r="J142" s="6"/>
      <c r="K142" s="64"/>
      <c r="L142" s="64"/>
      <c r="M142" s="6"/>
      <c r="N142" s="64"/>
      <c r="O142" s="331"/>
      <c r="P142" s="64"/>
      <c r="Q142" s="64"/>
      <c r="R142" s="491"/>
      <c r="S142" s="173"/>
      <c r="T142" s="27"/>
    </row>
    <row r="143" spans="1:20" ht="15.75" customHeight="1">
      <c r="A143" s="20"/>
      <c r="B143" s="6"/>
      <c r="C143" s="6"/>
      <c r="D143" s="6"/>
      <c r="E143" s="6"/>
      <c r="F143" s="6"/>
      <c r="G143" s="6"/>
      <c r="H143" s="6"/>
      <c r="I143" s="20"/>
      <c r="J143" s="6"/>
      <c r="K143" s="64"/>
      <c r="L143" s="64"/>
      <c r="M143" s="6"/>
      <c r="N143" s="64"/>
      <c r="O143" s="331"/>
      <c r="P143" s="64"/>
      <c r="Q143" s="64"/>
      <c r="R143" s="491"/>
      <c r="S143" s="173"/>
      <c r="T143" s="27"/>
    </row>
    <row r="144" spans="1:20" ht="15.75" customHeight="1">
      <c r="A144" s="20"/>
      <c r="B144" s="6"/>
      <c r="C144" s="6"/>
      <c r="D144" s="6"/>
      <c r="E144" s="6"/>
      <c r="F144" s="6"/>
      <c r="G144" s="6"/>
      <c r="H144" s="6"/>
      <c r="I144" s="20"/>
      <c r="J144" s="6"/>
      <c r="K144" s="64"/>
      <c r="L144" s="64"/>
      <c r="M144" s="6"/>
      <c r="N144" s="64"/>
      <c r="O144" s="331"/>
      <c r="P144" s="64"/>
      <c r="Q144" s="64"/>
      <c r="R144" s="491"/>
      <c r="S144" s="173"/>
      <c r="T144" s="27"/>
    </row>
    <row r="145" spans="1:20" ht="15.75" customHeight="1">
      <c r="A145" s="20"/>
      <c r="B145" s="6"/>
      <c r="C145" s="6"/>
      <c r="D145" s="6"/>
      <c r="E145" s="6"/>
      <c r="F145" s="6"/>
      <c r="G145" s="6"/>
      <c r="H145" s="6"/>
      <c r="I145" s="20"/>
      <c r="J145" s="6"/>
      <c r="K145" s="64"/>
      <c r="L145" s="64"/>
      <c r="M145" s="6"/>
      <c r="N145" s="64"/>
      <c r="O145" s="331"/>
      <c r="P145" s="64"/>
      <c r="Q145" s="64"/>
      <c r="R145" s="491"/>
      <c r="S145" s="173"/>
      <c r="T145" s="27"/>
    </row>
    <row r="146" spans="1:20" ht="15.75" customHeight="1">
      <c r="A146" s="20"/>
      <c r="B146" s="6"/>
      <c r="C146" s="6"/>
      <c r="D146" s="6"/>
      <c r="E146" s="6"/>
      <c r="F146" s="6"/>
      <c r="G146" s="6"/>
      <c r="H146" s="6"/>
      <c r="I146" s="20"/>
      <c r="J146" s="6"/>
      <c r="K146" s="64"/>
      <c r="L146" s="64"/>
      <c r="M146" s="6"/>
      <c r="N146" s="64"/>
      <c r="O146" s="331"/>
      <c r="P146" s="64"/>
      <c r="Q146" s="64"/>
      <c r="R146" s="491"/>
      <c r="S146" s="173"/>
      <c r="T146" s="27"/>
    </row>
    <row r="147" spans="1:20" ht="15.75" customHeight="1">
      <c r="A147" s="20"/>
      <c r="B147" s="6"/>
      <c r="C147" s="6"/>
      <c r="D147" s="6"/>
      <c r="E147" s="6"/>
      <c r="F147" s="6"/>
      <c r="G147" s="6"/>
      <c r="H147" s="6"/>
      <c r="I147" s="20"/>
      <c r="J147" s="6"/>
      <c r="K147" s="64"/>
      <c r="L147" s="64"/>
      <c r="M147" s="6"/>
      <c r="N147" s="64"/>
      <c r="O147" s="331"/>
      <c r="P147" s="64"/>
      <c r="Q147" s="64"/>
      <c r="R147" s="491"/>
      <c r="S147" s="173"/>
      <c r="T147" s="27"/>
    </row>
    <row r="148" spans="1:20" ht="15.75" customHeight="1">
      <c r="A148" s="20"/>
      <c r="B148" s="6"/>
      <c r="C148" s="6"/>
      <c r="D148" s="6"/>
      <c r="E148" s="6"/>
      <c r="F148" s="6"/>
      <c r="G148" s="6"/>
      <c r="H148" s="6"/>
      <c r="I148" s="20"/>
      <c r="J148" s="6"/>
      <c r="K148" s="64"/>
      <c r="L148" s="64"/>
      <c r="M148" s="6"/>
      <c r="N148" s="64"/>
      <c r="O148" s="331"/>
      <c r="P148" s="64"/>
      <c r="Q148" s="64"/>
      <c r="R148" s="491"/>
      <c r="S148" s="173"/>
      <c r="T148" s="27"/>
    </row>
    <row r="149" spans="1:20" ht="15.75" customHeight="1">
      <c r="A149" s="20"/>
      <c r="B149" s="6"/>
      <c r="C149" s="6"/>
      <c r="D149" s="6"/>
      <c r="E149" s="6"/>
      <c r="F149" s="6"/>
      <c r="G149" s="6"/>
      <c r="H149" s="6"/>
      <c r="I149" s="20"/>
      <c r="J149" s="6"/>
      <c r="K149" s="64"/>
      <c r="L149" s="64"/>
      <c r="M149" s="6"/>
      <c r="N149" s="64"/>
      <c r="O149" s="331"/>
      <c r="P149" s="64"/>
      <c r="Q149" s="64"/>
      <c r="R149" s="491"/>
      <c r="S149" s="173"/>
    </row>
    <row r="150" spans="1:20" ht="15.75" customHeight="1">
      <c r="A150" s="20"/>
      <c r="B150" s="6"/>
      <c r="C150" s="6"/>
      <c r="D150" s="6"/>
      <c r="E150" s="6"/>
      <c r="F150" s="6"/>
      <c r="G150" s="6"/>
      <c r="H150" s="6"/>
      <c r="I150" s="20"/>
      <c r="J150" s="6"/>
      <c r="K150" s="64"/>
      <c r="L150" s="64"/>
      <c r="M150" s="6"/>
      <c r="N150" s="64"/>
      <c r="O150" s="331"/>
      <c r="P150" s="64"/>
      <c r="Q150" s="64"/>
      <c r="R150" s="491"/>
      <c r="S150" s="173"/>
    </row>
    <row r="151" spans="1:20" ht="15.75" customHeight="1">
      <c r="A151" s="20"/>
      <c r="B151" s="6"/>
      <c r="C151" s="6"/>
      <c r="D151" s="6"/>
      <c r="E151" s="6"/>
      <c r="F151" s="6"/>
      <c r="G151" s="6"/>
      <c r="H151" s="6"/>
      <c r="I151" s="20"/>
      <c r="J151" s="6"/>
      <c r="K151" s="64"/>
      <c r="L151" s="64"/>
      <c r="M151" s="6"/>
      <c r="N151" s="64"/>
      <c r="O151" s="331"/>
      <c r="P151" s="64"/>
      <c r="Q151" s="64"/>
      <c r="R151" s="491"/>
      <c r="S151" s="173"/>
    </row>
    <row r="152" spans="1:20" ht="15.75" customHeight="1">
      <c r="A152" s="20"/>
      <c r="B152" s="6"/>
      <c r="C152" s="6"/>
      <c r="D152" s="6"/>
      <c r="E152" s="6"/>
      <c r="F152" s="6"/>
      <c r="G152" s="6"/>
      <c r="H152" s="6"/>
      <c r="I152" s="20"/>
      <c r="J152" s="6"/>
      <c r="K152" s="64"/>
      <c r="L152" s="64"/>
      <c r="M152" s="6"/>
      <c r="N152" s="64"/>
      <c r="O152" s="331"/>
      <c r="P152" s="64"/>
      <c r="Q152" s="64"/>
      <c r="R152" s="491"/>
      <c r="S152" s="173"/>
    </row>
    <row r="153" spans="1:20" ht="15.75" customHeight="1">
      <c r="A153" s="20"/>
      <c r="B153" s="6"/>
      <c r="C153" s="6"/>
      <c r="D153" s="6"/>
      <c r="E153" s="6"/>
      <c r="F153" s="6"/>
      <c r="G153" s="6"/>
      <c r="H153" s="6"/>
      <c r="I153" s="20"/>
      <c r="J153" s="6"/>
      <c r="K153" s="64"/>
      <c r="L153" s="64"/>
      <c r="M153" s="6"/>
      <c r="N153" s="64"/>
      <c r="O153" s="331"/>
      <c r="P153" s="64"/>
      <c r="Q153" s="64"/>
      <c r="R153" s="491"/>
      <c r="S153" s="173"/>
    </row>
    <row r="154" spans="1:20" ht="15.75" customHeight="1">
      <c r="A154" s="20"/>
      <c r="B154" s="6"/>
      <c r="C154" s="6"/>
      <c r="D154" s="6"/>
      <c r="E154" s="6"/>
      <c r="F154" s="6"/>
      <c r="G154" s="6"/>
      <c r="H154" s="6"/>
      <c r="I154" s="20"/>
      <c r="J154" s="6"/>
      <c r="K154" s="64"/>
      <c r="L154" s="64"/>
      <c r="M154" s="6"/>
      <c r="N154" s="64"/>
      <c r="O154" s="331"/>
      <c r="P154" s="64"/>
      <c r="Q154" s="64"/>
      <c r="R154" s="491"/>
    </row>
    <row r="155" spans="1:20" ht="15.75" customHeight="1">
      <c r="A155" s="20"/>
      <c r="B155" s="6"/>
      <c r="C155" s="6"/>
      <c r="D155" s="6"/>
      <c r="E155" s="6"/>
      <c r="F155" s="6"/>
      <c r="G155" s="6"/>
      <c r="H155" s="6"/>
      <c r="I155" s="20"/>
      <c r="J155" s="6"/>
      <c r="K155" s="64"/>
      <c r="L155" s="64"/>
      <c r="M155" s="6"/>
      <c r="N155" s="64"/>
      <c r="O155" s="331"/>
      <c r="P155" s="64"/>
      <c r="Q155" s="64"/>
      <c r="R155" s="491"/>
    </row>
    <row r="156" spans="1:20" ht="15.75" customHeight="1">
      <c r="A156" s="20"/>
      <c r="B156" s="6"/>
      <c r="C156" s="6"/>
      <c r="D156" s="6"/>
      <c r="E156" s="6"/>
      <c r="F156" s="6"/>
      <c r="G156" s="6"/>
      <c r="H156" s="6"/>
      <c r="I156" s="20"/>
      <c r="J156" s="6"/>
      <c r="K156" s="64"/>
      <c r="L156" s="64"/>
      <c r="M156" s="6"/>
      <c r="N156" s="64"/>
      <c r="O156" s="331"/>
      <c r="P156" s="64"/>
      <c r="Q156" s="64"/>
      <c r="R156" s="491"/>
    </row>
    <row r="157" spans="1:20" ht="15.75" customHeight="1">
      <c r="A157" s="20"/>
      <c r="B157" s="6"/>
      <c r="C157" s="6"/>
      <c r="D157" s="6"/>
      <c r="E157" s="6"/>
      <c r="F157" s="6"/>
      <c r="G157" s="6"/>
      <c r="H157" s="6"/>
      <c r="I157" s="20"/>
      <c r="J157" s="6"/>
      <c r="K157" s="64"/>
      <c r="L157" s="64"/>
      <c r="M157" s="6"/>
      <c r="N157" s="64"/>
      <c r="O157" s="331"/>
      <c r="P157" s="64"/>
      <c r="Q157" s="64"/>
      <c r="R157" s="491"/>
    </row>
    <row r="158" spans="1:20" ht="15.75" customHeight="1">
      <c r="A158" s="20"/>
      <c r="B158" s="6"/>
      <c r="C158" s="6"/>
      <c r="D158" s="6"/>
      <c r="E158" s="6"/>
      <c r="F158" s="6"/>
      <c r="G158" s="6"/>
      <c r="H158" s="6"/>
      <c r="I158" s="20"/>
      <c r="J158" s="6"/>
      <c r="K158" s="64"/>
      <c r="L158" s="64"/>
      <c r="M158" s="6"/>
      <c r="N158" s="64"/>
      <c r="O158" s="331"/>
      <c r="P158" s="64"/>
      <c r="Q158" s="64"/>
      <c r="R158" s="491"/>
    </row>
    <row r="159" spans="1:20" ht="15.75" customHeight="1">
      <c r="A159" s="20"/>
      <c r="B159" s="6"/>
      <c r="C159" s="6"/>
      <c r="D159" s="6"/>
      <c r="E159" s="6"/>
      <c r="F159" s="6"/>
      <c r="G159" s="6"/>
      <c r="H159" s="6"/>
      <c r="I159" s="20"/>
      <c r="J159" s="6"/>
      <c r="K159" s="64"/>
      <c r="L159" s="64"/>
      <c r="M159" s="6"/>
      <c r="N159" s="64"/>
      <c r="O159" s="331"/>
      <c r="P159" s="64"/>
      <c r="Q159" s="64"/>
      <c r="R159" s="491"/>
    </row>
    <row r="160" spans="1:20" ht="15.75" customHeight="1">
      <c r="A160" s="20"/>
      <c r="B160" s="6"/>
      <c r="C160" s="6"/>
      <c r="D160" s="6"/>
      <c r="E160" s="6"/>
      <c r="F160" s="6"/>
      <c r="G160" s="6"/>
      <c r="H160" s="6"/>
      <c r="I160" s="20"/>
      <c r="J160" s="6"/>
      <c r="K160" s="64"/>
      <c r="L160" s="64"/>
      <c r="M160" s="6"/>
      <c r="N160" s="64"/>
      <c r="O160" s="331"/>
      <c r="P160" s="64"/>
      <c r="Q160" s="64"/>
      <c r="R160" s="491"/>
    </row>
    <row r="161" spans="1:13" ht="15.75" customHeight="1">
      <c r="A161" s="20"/>
      <c r="B161" s="6"/>
      <c r="C161" s="6"/>
      <c r="D161" s="6"/>
      <c r="E161" s="6"/>
      <c r="F161" s="6"/>
      <c r="G161" s="6"/>
      <c r="H161" s="6"/>
      <c r="I161" s="20"/>
      <c r="J161" s="6"/>
      <c r="M161" s="6"/>
    </row>
    <row r="162" spans="1:13" ht="15.75" customHeight="1">
      <c r="A162" s="20"/>
      <c r="B162" s="6"/>
      <c r="C162" s="6"/>
      <c r="D162" s="6"/>
      <c r="E162" s="6"/>
      <c r="F162" s="6"/>
      <c r="G162" s="6"/>
      <c r="H162" s="6"/>
      <c r="I162" s="20"/>
      <c r="J162" s="6"/>
      <c r="M162" s="6"/>
    </row>
    <row r="163" spans="1:13" ht="15.75" customHeight="1">
      <c r="A163" s="20"/>
      <c r="B163" s="6"/>
      <c r="C163" s="6"/>
      <c r="D163" s="6"/>
      <c r="E163" s="6"/>
      <c r="F163" s="6"/>
      <c r="G163" s="6"/>
      <c r="H163" s="6"/>
      <c r="I163" s="20"/>
      <c r="J163" s="6"/>
      <c r="M163" s="6"/>
    </row>
    <row r="164" spans="1:13" ht="15.75" customHeight="1">
      <c r="A164" s="20"/>
      <c r="B164" s="6"/>
      <c r="C164" s="6"/>
      <c r="D164" s="6"/>
      <c r="E164" s="6"/>
      <c r="F164" s="6"/>
      <c r="G164" s="6"/>
      <c r="H164" s="6"/>
      <c r="I164" s="20"/>
      <c r="J164" s="6"/>
      <c r="M164" s="6"/>
    </row>
    <row r="165" spans="1:13" ht="15.75" customHeight="1">
      <c r="A165" s="20"/>
      <c r="B165" s="6"/>
      <c r="C165" s="6"/>
      <c r="D165" s="6"/>
      <c r="E165" s="6"/>
      <c r="F165" s="6"/>
      <c r="G165" s="6"/>
      <c r="H165" s="6"/>
      <c r="I165" s="20"/>
      <c r="J165" s="6"/>
      <c r="M165" s="6"/>
    </row>
    <row r="166" spans="1:13" ht="15.75" customHeight="1">
      <c r="A166" s="20"/>
      <c r="B166" s="6"/>
      <c r="C166" s="6"/>
      <c r="D166" s="6"/>
      <c r="E166" s="6"/>
      <c r="F166" s="6"/>
      <c r="G166" s="6"/>
      <c r="H166" s="6"/>
      <c r="I166" s="20"/>
      <c r="J166" s="6"/>
      <c r="M166" s="6"/>
    </row>
    <row r="167" spans="1:13" ht="15.75" customHeight="1">
      <c r="A167" s="20"/>
      <c r="B167" s="6"/>
      <c r="C167" s="6"/>
      <c r="D167" s="6"/>
      <c r="E167" s="6"/>
      <c r="F167" s="6"/>
      <c r="G167" s="6"/>
      <c r="H167" s="6"/>
      <c r="I167" s="20"/>
      <c r="J167" s="6"/>
      <c r="M167" s="6"/>
    </row>
    <row r="168" spans="1:13" ht="15.75" customHeight="1">
      <c r="A168" s="20"/>
      <c r="B168" s="6"/>
      <c r="C168" s="6"/>
      <c r="D168" s="6"/>
      <c r="E168" s="6"/>
      <c r="F168" s="6"/>
      <c r="G168" s="6"/>
      <c r="H168" s="6"/>
      <c r="I168" s="20"/>
      <c r="J168" s="6"/>
      <c r="M168" s="6"/>
    </row>
    <row r="169" spans="1:13" ht="15.75" customHeight="1">
      <c r="A169" s="20"/>
      <c r="B169" s="6"/>
      <c r="C169" s="6"/>
      <c r="D169" s="6"/>
      <c r="E169" s="6"/>
      <c r="F169" s="6"/>
      <c r="G169" s="6"/>
      <c r="H169" s="6"/>
      <c r="I169" s="20"/>
      <c r="J169" s="6"/>
      <c r="M169" s="6"/>
    </row>
    <row r="170" spans="1:13" ht="15.75" customHeight="1">
      <c r="A170" s="20"/>
      <c r="B170" s="6"/>
      <c r="C170" s="6"/>
      <c r="D170" s="6"/>
      <c r="E170" s="6"/>
      <c r="F170" s="6"/>
      <c r="G170" s="6"/>
      <c r="H170" s="6"/>
      <c r="I170" s="20"/>
      <c r="J170" s="6"/>
      <c r="M170" s="6"/>
    </row>
    <row r="171" spans="1:13" ht="15.75" customHeight="1">
      <c r="A171" s="20"/>
      <c r="B171" s="6"/>
      <c r="C171" s="6"/>
      <c r="D171" s="6"/>
      <c r="E171" s="6"/>
      <c r="F171" s="6"/>
      <c r="G171" s="6"/>
      <c r="H171" s="6"/>
      <c r="I171" s="20"/>
      <c r="J171" s="6"/>
      <c r="M171" s="6"/>
    </row>
    <row r="172" spans="1:13" ht="15.75" customHeight="1">
      <c r="A172" s="20"/>
      <c r="B172" s="6"/>
      <c r="C172" s="6"/>
      <c r="D172" s="6"/>
      <c r="E172" s="6"/>
      <c r="F172" s="6"/>
      <c r="G172" s="6"/>
      <c r="H172" s="6"/>
      <c r="I172" s="20"/>
      <c r="J172" s="6"/>
      <c r="M172" s="6"/>
    </row>
    <row r="173" spans="1:13" ht="15.75" customHeight="1">
      <c r="A173" s="20"/>
      <c r="B173" s="6"/>
      <c r="C173" s="6"/>
      <c r="D173" s="6"/>
      <c r="E173" s="6"/>
      <c r="F173" s="6"/>
      <c r="G173" s="6"/>
      <c r="H173" s="6"/>
      <c r="I173" s="20"/>
      <c r="J173" s="6"/>
      <c r="M173" s="6"/>
    </row>
    <row r="174" spans="1:13" ht="15.75" customHeight="1">
      <c r="A174" s="20"/>
      <c r="B174" s="6"/>
      <c r="C174" s="6"/>
      <c r="D174" s="6"/>
      <c r="E174" s="6"/>
      <c r="F174" s="6"/>
      <c r="G174" s="6"/>
      <c r="H174" s="6"/>
      <c r="I174" s="20"/>
      <c r="J174" s="6"/>
      <c r="M174" s="6"/>
    </row>
    <row r="175" spans="1:13" ht="15.75" customHeight="1">
      <c r="A175" s="20"/>
      <c r="B175" s="6"/>
      <c r="C175" s="6"/>
      <c r="D175" s="6"/>
      <c r="E175" s="6"/>
      <c r="F175" s="6"/>
      <c r="G175" s="6"/>
      <c r="H175" s="6"/>
      <c r="I175" s="20"/>
      <c r="J175" s="6"/>
      <c r="M175" s="6"/>
    </row>
    <row r="176" spans="1:13" ht="15.75" customHeight="1">
      <c r="A176" s="20"/>
      <c r="B176" s="6"/>
      <c r="C176" s="6"/>
      <c r="D176" s="6"/>
      <c r="E176" s="6"/>
      <c r="F176" s="6"/>
      <c r="G176" s="6"/>
      <c r="H176" s="6"/>
      <c r="I176" s="20"/>
      <c r="J176" s="6"/>
      <c r="M176" s="6"/>
    </row>
    <row r="177" spans="1:18" ht="15.75" customHeight="1">
      <c r="A177" s="20"/>
      <c r="B177" s="6"/>
      <c r="C177" s="6"/>
      <c r="D177" s="6"/>
      <c r="E177" s="6"/>
      <c r="F177" s="6"/>
      <c r="G177" s="6"/>
      <c r="H177" s="6"/>
      <c r="I177" s="20"/>
      <c r="J177" s="6"/>
      <c r="M177" s="6"/>
    </row>
    <row r="178" spans="1:18" ht="15.75" customHeight="1">
      <c r="A178" s="20"/>
      <c r="B178" s="6"/>
      <c r="C178" s="6"/>
      <c r="D178" s="6"/>
      <c r="E178" s="6"/>
      <c r="F178" s="6"/>
      <c r="G178" s="6"/>
      <c r="H178" s="6"/>
      <c r="I178" s="20"/>
      <c r="J178" s="6"/>
      <c r="K178" s="6"/>
      <c r="L178" s="6"/>
      <c r="M178" s="6"/>
      <c r="N178" s="6"/>
      <c r="O178" s="20"/>
      <c r="P178" s="6"/>
      <c r="Q178" s="6"/>
      <c r="R178" s="20"/>
    </row>
    <row r="179" spans="1:18" ht="15.75" customHeight="1">
      <c r="A179" s="20"/>
      <c r="B179" s="6"/>
      <c r="C179" s="6"/>
      <c r="D179" s="6"/>
      <c r="E179" s="6"/>
      <c r="F179" s="6"/>
      <c r="G179" s="6"/>
      <c r="H179" s="6"/>
      <c r="I179" s="20"/>
      <c r="J179" s="6"/>
      <c r="K179" s="6"/>
      <c r="L179" s="6"/>
      <c r="M179" s="6"/>
      <c r="N179" s="6"/>
      <c r="O179" s="20"/>
      <c r="P179" s="6"/>
      <c r="Q179" s="6"/>
      <c r="R179" s="20"/>
    </row>
    <row r="180" spans="1:18" ht="15.75" customHeight="1">
      <c r="A180" s="20"/>
      <c r="B180" s="6"/>
      <c r="C180" s="6"/>
      <c r="D180" s="6"/>
      <c r="E180" s="6"/>
      <c r="F180" s="6"/>
      <c r="G180" s="6"/>
      <c r="H180" s="6"/>
      <c r="I180" s="20"/>
      <c r="J180" s="6"/>
      <c r="K180" s="6"/>
      <c r="L180" s="6"/>
      <c r="M180" s="6"/>
      <c r="N180" s="6"/>
      <c r="O180" s="20"/>
      <c r="P180" s="6"/>
      <c r="Q180" s="6"/>
      <c r="R180" s="20"/>
    </row>
    <row r="181" spans="1:18" ht="15.75" customHeight="1">
      <c r="A181" s="20"/>
      <c r="B181" s="6"/>
      <c r="C181" s="6"/>
      <c r="D181" s="6"/>
      <c r="E181" s="6"/>
      <c r="F181" s="6"/>
      <c r="G181" s="6"/>
      <c r="H181" s="6"/>
      <c r="I181" s="20"/>
      <c r="J181" s="6"/>
      <c r="K181" s="6"/>
      <c r="L181" s="6"/>
      <c r="M181" s="6"/>
      <c r="N181" s="6"/>
      <c r="O181" s="20"/>
      <c r="P181" s="6"/>
      <c r="Q181" s="6"/>
      <c r="R181" s="20"/>
    </row>
    <row r="182" spans="1:18" ht="15.75" customHeight="1">
      <c r="A182" s="20"/>
      <c r="B182" s="6"/>
      <c r="C182" s="6"/>
      <c r="D182" s="6"/>
      <c r="E182" s="6"/>
      <c r="F182" s="6"/>
      <c r="G182" s="6"/>
      <c r="H182" s="6"/>
      <c r="I182" s="20"/>
      <c r="J182" s="6"/>
      <c r="K182" s="6"/>
      <c r="L182" s="6"/>
      <c r="M182" s="6"/>
      <c r="N182" s="6"/>
      <c r="O182" s="20"/>
      <c r="P182" s="6"/>
      <c r="Q182" s="6"/>
      <c r="R182" s="20"/>
    </row>
    <row r="183" spans="1:18" ht="15.75" customHeight="1">
      <c r="A183" s="20"/>
      <c r="B183" s="6"/>
      <c r="C183" s="6"/>
      <c r="D183" s="6"/>
      <c r="E183" s="6"/>
      <c r="F183" s="6"/>
      <c r="G183" s="6"/>
      <c r="H183" s="6"/>
      <c r="I183" s="20"/>
      <c r="J183" s="6"/>
      <c r="K183" s="6"/>
      <c r="L183" s="6"/>
      <c r="M183" s="6"/>
      <c r="N183" s="6"/>
      <c r="O183" s="20"/>
      <c r="P183" s="6"/>
      <c r="Q183" s="6"/>
      <c r="R183" s="20"/>
    </row>
    <row r="184" spans="1:18" ht="15.75" customHeight="1">
      <c r="A184" s="20"/>
      <c r="B184" s="6"/>
      <c r="C184" s="6"/>
      <c r="D184" s="6"/>
      <c r="E184" s="6"/>
      <c r="F184" s="6"/>
      <c r="G184" s="6"/>
      <c r="H184" s="6"/>
      <c r="I184" s="20"/>
      <c r="J184" s="6"/>
      <c r="K184" s="6"/>
      <c r="L184" s="6"/>
      <c r="M184" s="6"/>
      <c r="N184" s="6"/>
      <c r="O184" s="20"/>
      <c r="P184" s="6"/>
      <c r="Q184" s="6"/>
      <c r="R184" s="20"/>
    </row>
    <row r="185" spans="1:18" ht="15.75" customHeight="1">
      <c r="A185" s="20"/>
      <c r="B185" s="6"/>
      <c r="C185" s="6"/>
      <c r="D185" s="6"/>
      <c r="E185" s="6"/>
      <c r="F185" s="6"/>
      <c r="G185" s="6"/>
      <c r="H185" s="6"/>
      <c r="I185" s="20"/>
      <c r="J185" s="6"/>
      <c r="K185" s="6"/>
      <c r="L185" s="6"/>
      <c r="M185" s="6"/>
      <c r="N185" s="6"/>
      <c r="O185" s="20"/>
      <c r="P185" s="6"/>
      <c r="Q185" s="6"/>
      <c r="R185" s="20"/>
    </row>
    <row r="186" spans="1:18" ht="15.75" customHeight="1">
      <c r="A186" s="20"/>
      <c r="B186" s="6"/>
      <c r="C186" s="6"/>
      <c r="D186" s="6"/>
      <c r="E186" s="6"/>
      <c r="F186" s="6"/>
      <c r="G186" s="6"/>
      <c r="H186" s="6"/>
      <c r="I186" s="20"/>
      <c r="J186" s="6"/>
      <c r="K186" s="6"/>
      <c r="L186" s="6"/>
      <c r="M186" s="6"/>
      <c r="N186" s="6"/>
      <c r="O186" s="20"/>
      <c r="P186" s="6"/>
      <c r="Q186" s="6"/>
      <c r="R186" s="20"/>
    </row>
    <row r="187" spans="1:18" ht="15.75" customHeight="1">
      <c r="A187" s="20"/>
      <c r="B187" s="6"/>
      <c r="C187" s="6"/>
      <c r="D187" s="6"/>
      <c r="E187" s="6"/>
      <c r="F187" s="6"/>
      <c r="G187" s="6"/>
      <c r="H187" s="6"/>
      <c r="I187" s="20"/>
      <c r="J187" s="6"/>
      <c r="K187" s="6"/>
      <c r="L187" s="6"/>
      <c r="M187" s="6"/>
      <c r="N187" s="6"/>
      <c r="O187" s="20"/>
      <c r="P187" s="6"/>
      <c r="Q187" s="6"/>
      <c r="R187" s="20"/>
    </row>
    <row r="188" spans="1:18" ht="15.75" customHeight="1">
      <c r="A188" s="20"/>
      <c r="B188" s="6"/>
      <c r="C188" s="6"/>
      <c r="D188" s="6"/>
      <c r="E188" s="6"/>
      <c r="F188" s="6"/>
      <c r="G188" s="6"/>
      <c r="H188" s="6"/>
      <c r="I188" s="20"/>
      <c r="J188" s="6"/>
      <c r="K188" s="6"/>
      <c r="L188" s="6"/>
      <c r="M188" s="6"/>
      <c r="N188" s="6"/>
      <c r="O188" s="20"/>
      <c r="P188" s="6"/>
      <c r="Q188" s="6"/>
      <c r="R188" s="20"/>
    </row>
    <row r="189" spans="1:18" ht="15.75" customHeight="1">
      <c r="A189" s="20"/>
      <c r="B189" s="6"/>
      <c r="C189" s="6"/>
      <c r="D189" s="6"/>
      <c r="E189" s="6"/>
      <c r="F189" s="6"/>
      <c r="G189" s="6"/>
      <c r="H189" s="6"/>
      <c r="I189" s="20"/>
      <c r="J189" s="6"/>
      <c r="K189" s="6"/>
      <c r="L189" s="6"/>
      <c r="M189" s="6"/>
      <c r="N189" s="6"/>
      <c r="O189" s="20"/>
      <c r="P189" s="6"/>
      <c r="Q189" s="6"/>
      <c r="R189" s="20"/>
    </row>
    <row r="190" spans="1:18" ht="15.75" customHeight="1">
      <c r="A190" s="20"/>
      <c r="B190" s="6"/>
      <c r="C190" s="6"/>
      <c r="D190" s="6"/>
      <c r="E190" s="6"/>
      <c r="F190" s="6"/>
      <c r="G190" s="6"/>
      <c r="H190" s="6"/>
      <c r="I190" s="20"/>
      <c r="J190" s="6"/>
      <c r="K190" s="6"/>
      <c r="L190" s="6"/>
      <c r="M190" s="6"/>
      <c r="N190" s="6"/>
      <c r="O190" s="20"/>
      <c r="P190" s="6"/>
      <c r="Q190" s="6"/>
      <c r="R190" s="20"/>
    </row>
    <row r="191" spans="1:18" ht="15.75" customHeight="1">
      <c r="A191" s="20"/>
      <c r="B191" s="6"/>
      <c r="C191" s="6"/>
      <c r="D191" s="6"/>
      <c r="E191" s="6"/>
      <c r="F191" s="6"/>
      <c r="G191" s="6"/>
      <c r="H191" s="6"/>
      <c r="I191" s="20"/>
      <c r="J191" s="6"/>
      <c r="K191" s="6"/>
      <c r="L191" s="6"/>
      <c r="M191" s="6"/>
      <c r="N191" s="6"/>
      <c r="O191" s="20"/>
      <c r="P191" s="6"/>
      <c r="Q191" s="6"/>
      <c r="R191" s="20"/>
    </row>
    <row r="192" spans="1:18" ht="15.75" customHeight="1">
      <c r="A192" s="20"/>
      <c r="B192" s="6"/>
      <c r="C192" s="6"/>
      <c r="D192" s="6"/>
      <c r="E192" s="6"/>
      <c r="F192" s="6"/>
      <c r="G192" s="6"/>
      <c r="H192" s="6"/>
      <c r="I192" s="20"/>
      <c r="J192" s="6"/>
      <c r="K192" s="6"/>
      <c r="L192" s="6"/>
      <c r="M192" s="6"/>
      <c r="N192" s="6"/>
      <c r="O192" s="20"/>
      <c r="P192" s="6"/>
      <c r="Q192" s="6"/>
      <c r="R192" s="20"/>
    </row>
    <row r="193" spans="1:18" ht="15.75" customHeight="1">
      <c r="A193" s="20"/>
      <c r="B193" s="6"/>
      <c r="C193" s="6"/>
      <c r="D193" s="6"/>
      <c r="E193" s="6"/>
      <c r="F193" s="6"/>
      <c r="G193" s="6"/>
      <c r="H193" s="6"/>
      <c r="I193" s="20"/>
      <c r="J193" s="6"/>
      <c r="K193" s="6"/>
      <c r="L193" s="6"/>
      <c r="M193" s="6"/>
      <c r="N193" s="6"/>
      <c r="O193" s="20"/>
      <c r="P193" s="6"/>
      <c r="Q193" s="6"/>
      <c r="R193" s="20"/>
    </row>
    <row r="194" spans="1:18" ht="15.75" customHeight="1">
      <c r="A194" s="20"/>
      <c r="B194" s="6"/>
      <c r="C194" s="6"/>
      <c r="D194" s="6"/>
      <c r="E194" s="6"/>
      <c r="F194" s="6"/>
      <c r="G194" s="6"/>
      <c r="H194" s="6"/>
      <c r="I194" s="20"/>
      <c r="J194" s="6"/>
      <c r="K194" s="6"/>
      <c r="L194" s="6"/>
      <c r="M194" s="6"/>
      <c r="N194" s="6"/>
      <c r="O194" s="20"/>
      <c r="P194" s="6"/>
      <c r="Q194" s="6"/>
      <c r="R194" s="20"/>
    </row>
    <row r="195" spans="1:18" ht="15.75" customHeight="1">
      <c r="A195" s="20"/>
      <c r="B195" s="6"/>
      <c r="C195" s="6"/>
      <c r="D195" s="6"/>
      <c r="E195" s="6"/>
      <c r="F195" s="6"/>
      <c r="G195" s="6"/>
      <c r="H195" s="6"/>
      <c r="I195" s="20"/>
      <c r="J195" s="6"/>
      <c r="K195" s="6"/>
      <c r="L195" s="6"/>
      <c r="M195" s="6"/>
      <c r="N195" s="6"/>
      <c r="O195" s="20"/>
      <c r="P195" s="6"/>
      <c r="Q195" s="6"/>
      <c r="R195" s="20"/>
    </row>
    <row r="196" spans="1:18" ht="15.75" customHeight="1">
      <c r="A196" s="20"/>
      <c r="B196" s="6"/>
      <c r="C196" s="6"/>
      <c r="D196" s="6"/>
      <c r="E196" s="6"/>
      <c r="F196" s="6"/>
      <c r="G196" s="6"/>
      <c r="H196" s="6"/>
      <c r="I196" s="20"/>
      <c r="J196" s="6"/>
      <c r="K196" s="6"/>
      <c r="L196" s="6"/>
      <c r="M196" s="6"/>
      <c r="N196" s="6"/>
      <c r="O196" s="20"/>
      <c r="P196" s="6"/>
      <c r="Q196" s="6"/>
      <c r="R196" s="20"/>
    </row>
    <row r="197" spans="1:18" ht="15.75" customHeight="1">
      <c r="A197" s="20"/>
      <c r="B197" s="6"/>
      <c r="C197" s="6"/>
      <c r="D197" s="6"/>
      <c r="E197" s="6"/>
      <c r="F197" s="6"/>
      <c r="G197" s="6"/>
      <c r="H197" s="6"/>
      <c r="I197" s="20"/>
      <c r="J197" s="6"/>
      <c r="K197" s="6"/>
      <c r="L197" s="6"/>
      <c r="M197" s="6"/>
      <c r="N197" s="6"/>
      <c r="O197" s="20"/>
      <c r="P197" s="6"/>
      <c r="Q197" s="6"/>
      <c r="R197" s="20"/>
    </row>
    <row r="198" spans="1:18" ht="15.75" customHeight="1">
      <c r="A198" s="20"/>
      <c r="B198" s="6"/>
      <c r="C198" s="6"/>
      <c r="D198" s="6"/>
      <c r="E198" s="6"/>
      <c r="F198" s="6"/>
      <c r="G198" s="6"/>
      <c r="H198" s="6"/>
      <c r="I198" s="20"/>
      <c r="J198" s="6"/>
      <c r="K198" s="6"/>
      <c r="L198" s="6"/>
      <c r="M198" s="6"/>
      <c r="N198" s="6"/>
      <c r="O198" s="20"/>
      <c r="P198" s="6"/>
      <c r="Q198" s="6"/>
      <c r="R198" s="20"/>
    </row>
    <row r="199" spans="1:18" ht="15.75" customHeight="1">
      <c r="A199" s="20"/>
      <c r="B199" s="6"/>
      <c r="C199" s="6"/>
      <c r="D199" s="6"/>
      <c r="E199" s="6"/>
      <c r="F199" s="6"/>
      <c r="G199" s="6"/>
      <c r="H199" s="6"/>
      <c r="I199" s="20"/>
      <c r="J199" s="6"/>
      <c r="K199" s="6"/>
      <c r="L199" s="6"/>
      <c r="M199" s="6"/>
      <c r="N199" s="6"/>
      <c r="O199" s="20"/>
      <c r="P199" s="6"/>
      <c r="Q199" s="6"/>
      <c r="R199" s="20"/>
    </row>
    <row r="200" spans="1:18" ht="15.75" customHeight="1">
      <c r="A200" s="20"/>
      <c r="B200" s="6"/>
      <c r="C200" s="6"/>
      <c r="D200" s="6"/>
      <c r="E200" s="6"/>
      <c r="F200" s="6"/>
      <c r="G200" s="6"/>
      <c r="H200" s="6"/>
      <c r="I200" s="20"/>
      <c r="J200" s="6"/>
      <c r="K200" s="6"/>
      <c r="L200" s="6"/>
      <c r="M200" s="6"/>
      <c r="N200" s="6"/>
      <c r="O200" s="20"/>
      <c r="P200" s="6"/>
      <c r="Q200" s="6"/>
      <c r="R200" s="20"/>
    </row>
    <row r="201" spans="1:18" ht="15.75" customHeight="1">
      <c r="A201" s="20"/>
      <c r="B201" s="6"/>
      <c r="C201" s="6"/>
      <c r="D201" s="6"/>
      <c r="E201" s="6"/>
      <c r="F201" s="6"/>
      <c r="G201" s="6"/>
      <c r="H201" s="6"/>
      <c r="I201" s="20"/>
      <c r="J201" s="6"/>
      <c r="K201" s="6"/>
      <c r="L201" s="6"/>
      <c r="M201" s="6"/>
      <c r="N201" s="6"/>
      <c r="O201" s="20"/>
      <c r="P201" s="6"/>
      <c r="Q201" s="6"/>
      <c r="R201" s="20"/>
    </row>
    <row r="202" spans="1:18" ht="15.75" customHeight="1">
      <c r="A202" s="20"/>
      <c r="B202" s="6"/>
      <c r="C202" s="6"/>
      <c r="D202" s="6"/>
      <c r="E202" s="6"/>
      <c r="F202" s="6"/>
      <c r="G202" s="6"/>
      <c r="H202" s="6"/>
      <c r="I202" s="20"/>
      <c r="J202" s="6"/>
      <c r="K202" s="6"/>
      <c r="L202" s="6"/>
      <c r="M202" s="6"/>
      <c r="N202" s="6"/>
      <c r="O202" s="20"/>
      <c r="P202" s="6"/>
      <c r="Q202" s="6"/>
      <c r="R202" s="20"/>
    </row>
    <row r="203" spans="1:18" ht="15.75" customHeight="1">
      <c r="A203" s="20"/>
      <c r="B203" s="6"/>
      <c r="C203" s="6"/>
      <c r="D203" s="6"/>
      <c r="E203" s="6"/>
      <c r="F203" s="6"/>
      <c r="G203" s="6"/>
      <c r="H203" s="6"/>
      <c r="I203" s="20"/>
      <c r="J203" s="6"/>
      <c r="K203" s="6"/>
      <c r="L203" s="6"/>
      <c r="M203" s="6"/>
      <c r="N203" s="6"/>
      <c r="O203" s="20"/>
      <c r="P203" s="6"/>
      <c r="Q203" s="6"/>
      <c r="R203" s="20"/>
    </row>
    <row r="204" spans="1:18" ht="15.75" customHeight="1">
      <c r="A204" s="20"/>
      <c r="B204" s="6"/>
      <c r="C204" s="6"/>
      <c r="D204" s="6"/>
      <c r="E204" s="6"/>
      <c r="F204" s="6"/>
      <c r="G204" s="6"/>
      <c r="H204" s="6"/>
      <c r="I204" s="20"/>
      <c r="J204" s="6"/>
      <c r="K204" s="6"/>
      <c r="L204" s="6"/>
      <c r="M204" s="6"/>
      <c r="N204" s="6"/>
      <c r="O204" s="20"/>
      <c r="P204" s="6"/>
      <c r="Q204" s="6"/>
      <c r="R204" s="20"/>
    </row>
    <row r="205" spans="1:18" ht="15.75" customHeight="1">
      <c r="A205" s="20"/>
      <c r="B205" s="6"/>
      <c r="C205" s="6"/>
      <c r="D205" s="6"/>
      <c r="E205" s="6"/>
      <c r="F205" s="6"/>
      <c r="G205" s="6"/>
      <c r="H205" s="6"/>
      <c r="I205" s="20"/>
      <c r="J205" s="6"/>
      <c r="K205" s="6"/>
      <c r="L205" s="6"/>
      <c r="M205" s="6"/>
      <c r="N205" s="6"/>
      <c r="O205" s="20"/>
      <c r="P205" s="6"/>
      <c r="Q205" s="6"/>
      <c r="R205" s="20"/>
    </row>
    <row r="206" spans="1:18" ht="15.75" customHeight="1">
      <c r="A206" s="20"/>
      <c r="B206" s="6"/>
      <c r="C206" s="6"/>
      <c r="D206" s="6"/>
      <c r="E206" s="6"/>
      <c r="F206" s="6"/>
      <c r="G206" s="6"/>
      <c r="H206" s="6"/>
      <c r="I206" s="20"/>
      <c r="J206" s="6"/>
      <c r="K206" s="6"/>
      <c r="L206" s="6"/>
      <c r="M206" s="6"/>
      <c r="N206" s="6"/>
      <c r="O206" s="20"/>
      <c r="P206" s="6"/>
      <c r="Q206" s="6"/>
      <c r="R206" s="20"/>
    </row>
    <row r="207" spans="1:18" ht="15.75" customHeight="1">
      <c r="A207" s="20"/>
      <c r="B207" s="6"/>
      <c r="C207" s="6"/>
      <c r="D207" s="6"/>
      <c r="E207" s="6"/>
      <c r="F207" s="6"/>
      <c r="G207" s="6"/>
      <c r="H207" s="6"/>
      <c r="I207" s="20"/>
      <c r="J207" s="6"/>
      <c r="K207" s="6"/>
      <c r="L207" s="6"/>
      <c r="M207" s="6"/>
      <c r="N207" s="6"/>
      <c r="O207" s="20"/>
      <c r="P207" s="6"/>
      <c r="Q207" s="6"/>
      <c r="R207" s="20"/>
    </row>
    <row r="208" spans="1:18" ht="15.75" customHeight="1">
      <c r="A208" s="20"/>
      <c r="B208" s="6"/>
      <c r="C208" s="6"/>
      <c r="D208" s="6"/>
      <c r="E208" s="6"/>
      <c r="F208" s="6"/>
      <c r="G208" s="6"/>
      <c r="H208" s="6"/>
      <c r="I208" s="20"/>
      <c r="J208" s="6"/>
      <c r="K208" s="6"/>
      <c r="L208" s="6"/>
      <c r="M208" s="6"/>
      <c r="N208" s="6"/>
      <c r="O208" s="20"/>
      <c r="P208" s="6"/>
      <c r="Q208" s="6"/>
      <c r="R208" s="20"/>
    </row>
    <row r="209" spans="1:18" ht="15.75" customHeight="1">
      <c r="A209" s="20"/>
      <c r="B209" s="6"/>
      <c r="C209" s="6"/>
      <c r="D209" s="6"/>
      <c r="E209" s="6"/>
      <c r="F209" s="6"/>
      <c r="G209" s="6"/>
      <c r="H209" s="6"/>
      <c r="I209" s="20"/>
      <c r="J209" s="6"/>
      <c r="K209" s="6"/>
      <c r="L209" s="6"/>
      <c r="M209" s="6"/>
      <c r="N209" s="6"/>
      <c r="O209" s="20"/>
      <c r="P209" s="6"/>
      <c r="Q209" s="6"/>
      <c r="R209" s="20"/>
    </row>
    <row r="210" spans="1:18" ht="15.75" customHeight="1">
      <c r="A210" s="20"/>
      <c r="B210" s="6"/>
      <c r="C210" s="6"/>
      <c r="D210" s="6"/>
      <c r="E210" s="6"/>
      <c r="F210" s="6"/>
      <c r="G210" s="6"/>
      <c r="H210" s="6"/>
      <c r="I210" s="20"/>
      <c r="J210" s="6"/>
      <c r="K210" s="6"/>
      <c r="L210" s="6"/>
      <c r="M210" s="6"/>
      <c r="N210" s="6"/>
      <c r="O210" s="20"/>
      <c r="P210" s="6"/>
      <c r="Q210" s="6"/>
      <c r="R210" s="20"/>
    </row>
    <row r="211" spans="1:18" ht="15.75" customHeight="1">
      <c r="A211" s="20"/>
      <c r="B211" s="6"/>
      <c r="C211" s="6"/>
      <c r="D211" s="6"/>
      <c r="E211" s="6"/>
      <c r="F211" s="6"/>
      <c r="G211" s="6"/>
      <c r="H211" s="6"/>
      <c r="I211" s="20"/>
      <c r="J211" s="6"/>
      <c r="K211" s="6"/>
      <c r="L211" s="6"/>
      <c r="M211" s="6"/>
      <c r="N211" s="6"/>
      <c r="O211" s="20"/>
      <c r="P211" s="6"/>
      <c r="Q211" s="6"/>
      <c r="R211" s="20"/>
    </row>
    <row r="212" spans="1:18" ht="15.75" customHeight="1">
      <c r="A212" s="20"/>
      <c r="B212" s="6"/>
      <c r="C212" s="6"/>
      <c r="D212" s="6"/>
      <c r="E212" s="6"/>
      <c r="F212" s="6"/>
      <c r="G212" s="6"/>
      <c r="H212" s="6"/>
      <c r="I212" s="20"/>
      <c r="J212" s="6"/>
      <c r="K212" s="6"/>
      <c r="L212" s="6"/>
      <c r="M212" s="6"/>
      <c r="N212" s="6"/>
      <c r="O212" s="20"/>
      <c r="P212" s="6"/>
      <c r="Q212" s="6"/>
      <c r="R212" s="20"/>
    </row>
    <row r="213" spans="1:18" ht="15.75" customHeight="1">
      <c r="A213" s="20"/>
      <c r="B213" s="6"/>
      <c r="C213" s="6"/>
      <c r="D213" s="6"/>
      <c r="E213" s="6"/>
      <c r="F213" s="6"/>
      <c r="G213" s="6"/>
      <c r="H213" s="6"/>
      <c r="I213" s="20"/>
      <c r="J213" s="6"/>
      <c r="K213" s="6"/>
      <c r="L213" s="6"/>
      <c r="M213" s="6"/>
      <c r="N213" s="6"/>
      <c r="O213" s="20"/>
      <c r="P213" s="6"/>
      <c r="Q213" s="6"/>
      <c r="R213" s="20"/>
    </row>
    <row r="214" spans="1:18" ht="15.75" customHeight="1">
      <c r="A214" s="20"/>
      <c r="B214" s="6"/>
      <c r="C214" s="6"/>
      <c r="D214" s="6"/>
      <c r="E214" s="6"/>
      <c r="F214" s="6"/>
      <c r="G214" s="6"/>
      <c r="H214" s="6"/>
      <c r="I214" s="20"/>
      <c r="J214" s="6"/>
      <c r="K214" s="6"/>
      <c r="L214" s="6"/>
      <c r="M214" s="6"/>
      <c r="N214" s="6"/>
      <c r="O214" s="20"/>
      <c r="P214" s="6"/>
      <c r="Q214" s="6"/>
      <c r="R214" s="20"/>
    </row>
    <row r="215" spans="1:18" ht="15.75" customHeight="1">
      <c r="A215" s="20"/>
      <c r="B215" s="6"/>
      <c r="C215" s="6"/>
      <c r="D215" s="6"/>
      <c r="E215" s="6"/>
      <c r="F215" s="6"/>
      <c r="G215" s="6"/>
      <c r="H215" s="6"/>
      <c r="I215" s="20"/>
      <c r="J215" s="6"/>
      <c r="K215" s="6"/>
      <c r="L215" s="6"/>
      <c r="M215" s="6"/>
      <c r="N215" s="6"/>
      <c r="O215" s="20"/>
      <c r="P215" s="6"/>
      <c r="Q215" s="6"/>
      <c r="R215" s="20"/>
    </row>
    <row r="216" spans="1:18" ht="15.75" customHeight="1">
      <c r="A216" s="20"/>
      <c r="B216" s="6"/>
      <c r="C216" s="6"/>
      <c r="D216" s="6"/>
      <c r="E216" s="6"/>
      <c r="F216" s="6"/>
      <c r="G216" s="6"/>
      <c r="H216" s="6"/>
      <c r="I216" s="20"/>
      <c r="J216" s="6"/>
      <c r="K216" s="6"/>
      <c r="L216" s="6"/>
      <c r="M216" s="6"/>
      <c r="N216" s="6"/>
      <c r="O216" s="20"/>
      <c r="P216" s="6"/>
      <c r="Q216" s="6"/>
      <c r="R216" s="20"/>
    </row>
    <row r="217" spans="1:18" ht="15.75" customHeight="1">
      <c r="A217" s="20"/>
      <c r="B217" s="6"/>
      <c r="C217" s="6"/>
      <c r="D217" s="6"/>
      <c r="E217" s="6"/>
      <c r="F217" s="6"/>
      <c r="G217" s="6"/>
      <c r="H217" s="6"/>
      <c r="I217" s="20"/>
      <c r="J217" s="6"/>
      <c r="K217" s="6"/>
      <c r="L217" s="6"/>
      <c r="M217" s="6"/>
      <c r="N217" s="6"/>
      <c r="O217" s="20"/>
      <c r="P217" s="6"/>
      <c r="Q217" s="6"/>
      <c r="R217" s="20"/>
    </row>
    <row r="218" spans="1:18" ht="15.75" customHeight="1">
      <c r="A218" s="20"/>
      <c r="B218" s="6"/>
      <c r="C218" s="6"/>
      <c r="D218" s="6"/>
      <c r="E218" s="6"/>
      <c r="F218" s="6"/>
      <c r="G218" s="6"/>
      <c r="H218" s="6"/>
      <c r="I218" s="20"/>
      <c r="J218" s="6"/>
      <c r="K218" s="6"/>
      <c r="L218" s="6"/>
      <c r="M218" s="6"/>
      <c r="N218" s="6"/>
      <c r="O218" s="20"/>
      <c r="P218" s="6"/>
      <c r="Q218" s="6"/>
      <c r="R218" s="20"/>
    </row>
    <row r="219" spans="1:18" ht="15.75" customHeight="1">
      <c r="A219" s="20"/>
      <c r="B219" s="6"/>
      <c r="C219" s="6"/>
      <c r="D219" s="6"/>
      <c r="E219" s="6"/>
      <c r="F219" s="6"/>
      <c r="G219" s="6"/>
      <c r="H219" s="6"/>
      <c r="I219" s="20"/>
      <c r="J219" s="6"/>
      <c r="K219" s="6"/>
      <c r="L219" s="6"/>
      <c r="M219" s="6"/>
      <c r="N219" s="6"/>
      <c r="O219" s="20"/>
      <c r="P219" s="6"/>
      <c r="Q219" s="6"/>
      <c r="R219" s="20"/>
    </row>
    <row r="220" spans="1:18" ht="15.75" customHeight="1">
      <c r="A220" s="20"/>
      <c r="B220" s="6"/>
      <c r="C220" s="6"/>
      <c r="D220" s="6"/>
      <c r="E220" s="6"/>
      <c r="F220" s="6"/>
      <c r="G220" s="6"/>
      <c r="H220" s="6"/>
      <c r="I220" s="20"/>
      <c r="J220" s="6"/>
      <c r="K220" s="6"/>
      <c r="L220" s="6"/>
      <c r="M220" s="6"/>
      <c r="N220" s="6"/>
      <c r="O220" s="20"/>
      <c r="P220" s="6"/>
      <c r="Q220" s="6"/>
      <c r="R220" s="20"/>
    </row>
    <row r="221" spans="1:18" ht="15.75" customHeight="1">
      <c r="A221" s="20"/>
      <c r="B221" s="6"/>
      <c r="C221" s="6"/>
      <c r="D221" s="6"/>
      <c r="E221" s="6"/>
      <c r="F221" s="6"/>
      <c r="G221" s="6"/>
      <c r="H221" s="6"/>
      <c r="I221" s="20"/>
      <c r="J221" s="6"/>
      <c r="K221" s="6"/>
      <c r="L221" s="6"/>
      <c r="M221" s="6"/>
      <c r="N221" s="6"/>
      <c r="O221" s="20"/>
      <c r="P221" s="6"/>
      <c r="Q221" s="6"/>
      <c r="R221" s="20"/>
    </row>
    <row r="222" spans="1:18" ht="15.75" customHeight="1">
      <c r="A222" s="20"/>
      <c r="B222" s="6"/>
      <c r="C222" s="6"/>
      <c r="D222" s="6"/>
      <c r="E222" s="6"/>
      <c r="F222" s="6"/>
      <c r="G222" s="6"/>
      <c r="H222" s="6"/>
      <c r="I222" s="20"/>
      <c r="J222" s="6"/>
      <c r="K222" s="6"/>
      <c r="L222" s="6"/>
      <c r="M222" s="6"/>
      <c r="N222" s="6"/>
      <c r="O222" s="20"/>
      <c r="P222" s="6"/>
      <c r="Q222" s="6"/>
      <c r="R222" s="20"/>
    </row>
    <row r="223" spans="1:18" ht="15.75" customHeight="1">
      <c r="A223" s="20"/>
      <c r="B223" s="6"/>
      <c r="C223" s="6"/>
      <c r="D223" s="6"/>
      <c r="E223" s="6"/>
      <c r="F223" s="6"/>
      <c r="G223" s="6"/>
      <c r="H223" s="6"/>
      <c r="I223" s="20"/>
      <c r="J223" s="6"/>
      <c r="K223" s="6"/>
      <c r="L223" s="6"/>
      <c r="M223" s="6"/>
      <c r="N223" s="6"/>
      <c r="O223" s="20"/>
      <c r="P223" s="6"/>
      <c r="Q223" s="6"/>
      <c r="R223" s="20"/>
    </row>
    <row r="224" spans="1:18" ht="15.75" customHeight="1">
      <c r="A224" s="20"/>
      <c r="B224" s="6"/>
      <c r="C224" s="6"/>
      <c r="D224" s="6"/>
      <c r="E224" s="6"/>
      <c r="F224" s="6"/>
      <c r="G224" s="6"/>
      <c r="H224" s="6"/>
      <c r="I224" s="20"/>
      <c r="J224" s="6"/>
      <c r="K224" s="6"/>
      <c r="L224" s="6"/>
      <c r="M224" s="6"/>
      <c r="N224" s="6"/>
      <c r="O224" s="20"/>
      <c r="P224" s="6"/>
      <c r="Q224" s="6"/>
      <c r="R224" s="20"/>
    </row>
    <row r="225" spans="1:18" ht="15.75" customHeight="1">
      <c r="A225" s="20"/>
      <c r="B225" s="6"/>
      <c r="C225" s="6"/>
      <c r="D225" s="6"/>
      <c r="E225" s="6"/>
      <c r="F225" s="6"/>
      <c r="G225" s="6"/>
      <c r="H225" s="6"/>
      <c r="I225" s="20"/>
      <c r="J225" s="6"/>
      <c r="K225" s="6"/>
      <c r="L225" s="6"/>
      <c r="M225" s="6"/>
      <c r="N225" s="6"/>
      <c r="O225" s="20"/>
      <c r="P225" s="6"/>
      <c r="Q225" s="6"/>
      <c r="R225" s="20"/>
    </row>
    <row r="226" spans="1:18" ht="15.75" customHeight="1">
      <c r="A226" s="20"/>
      <c r="B226" s="6"/>
      <c r="C226" s="6"/>
      <c r="D226" s="6"/>
      <c r="E226" s="6"/>
      <c r="F226" s="6"/>
      <c r="G226" s="6"/>
      <c r="H226" s="6"/>
      <c r="I226" s="20"/>
      <c r="J226" s="6"/>
      <c r="K226" s="6"/>
      <c r="L226" s="6"/>
      <c r="M226" s="6"/>
      <c r="N226" s="6"/>
      <c r="O226" s="20"/>
      <c r="P226" s="6"/>
      <c r="Q226" s="6"/>
      <c r="R226" s="20"/>
    </row>
    <row r="227" spans="1:18" ht="15.75" customHeight="1">
      <c r="A227" s="20"/>
      <c r="B227" s="6"/>
      <c r="C227" s="6"/>
      <c r="D227" s="6"/>
      <c r="E227" s="6"/>
      <c r="F227" s="6"/>
      <c r="G227" s="6"/>
      <c r="H227" s="6"/>
      <c r="I227" s="20"/>
      <c r="J227" s="6"/>
      <c r="K227" s="6"/>
      <c r="L227" s="6"/>
      <c r="M227" s="6"/>
      <c r="N227" s="6"/>
      <c r="O227" s="20"/>
      <c r="P227" s="6"/>
      <c r="Q227" s="6"/>
      <c r="R227" s="20"/>
    </row>
    <row r="228" spans="1:18" ht="15.75" customHeight="1">
      <c r="A228" s="20"/>
      <c r="B228" s="6"/>
      <c r="C228" s="6"/>
      <c r="D228" s="6"/>
      <c r="E228" s="6"/>
      <c r="F228" s="6"/>
      <c r="G228" s="6"/>
      <c r="H228" s="6"/>
      <c r="I228" s="20"/>
      <c r="J228" s="6"/>
      <c r="K228" s="6"/>
      <c r="L228" s="6"/>
      <c r="M228" s="6"/>
      <c r="N228" s="6"/>
      <c r="O228" s="20"/>
      <c r="P228" s="6"/>
      <c r="Q228" s="6"/>
      <c r="R228" s="20"/>
    </row>
    <row r="229" spans="1:18" ht="15.75" customHeight="1">
      <c r="A229" s="20"/>
      <c r="B229" s="6"/>
      <c r="C229" s="6"/>
      <c r="D229" s="6"/>
      <c r="E229" s="6"/>
      <c r="F229" s="6"/>
      <c r="G229" s="6"/>
      <c r="H229" s="6"/>
      <c r="I229" s="20"/>
      <c r="J229" s="6"/>
      <c r="K229" s="6"/>
      <c r="L229" s="6"/>
      <c r="M229" s="6"/>
      <c r="N229" s="6"/>
      <c r="O229" s="20"/>
      <c r="P229" s="6"/>
      <c r="Q229" s="6"/>
      <c r="R229" s="20"/>
    </row>
    <row r="230" spans="1:18" ht="15.75" customHeight="1">
      <c r="A230" s="20"/>
      <c r="B230" s="6"/>
      <c r="C230" s="6"/>
      <c r="D230" s="6"/>
      <c r="E230" s="6"/>
      <c r="F230" s="6"/>
      <c r="G230" s="6"/>
      <c r="H230" s="6"/>
      <c r="I230" s="20"/>
      <c r="J230" s="6"/>
      <c r="K230" s="6"/>
      <c r="L230" s="6"/>
      <c r="M230" s="6"/>
      <c r="N230" s="6"/>
      <c r="O230" s="20"/>
      <c r="P230" s="6"/>
      <c r="Q230" s="6"/>
      <c r="R230" s="20"/>
    </row>
    <row r="231" spans="1:18" ht="15.75" customHeight="1">
      <c r="A231" s="20"/>
      <c r="B231" s="6"/>
      <c r="C231" s="6"/>
      <c r="D231" s="6"/>
      <c r="E231" s="6"/>
      <c r="F231" s="6"/>
      <c r="G231" s="6"/>
      <c r="H231" s="6"/>
      <c r="I231" s="20"/>
      <c r="J231" s="6"/>
      <c r="K231" s="6"/>
      <c r="L231" s="6"/>
      <c r="M231" s="6"/>
      <c r="N231" s="6"/>
      <c r="O231" s="20"/>
      <c r="P231" s="6"/>
      <c r="Q231" s="6"/>
      <c r="R231" s="20"/>
    </row>
    <row r="232" spans="1:18" ht="15.75" customHeight="1">
      <c r="A232" s="20"/>
      <c r="B232" s="6"/>
      <c r="C232" s="6"/>
      <c r="D232" s="6"/>
      <c r="E232" s="6"/>
      <c r="F232" s="6"/>
      <c r="G232" s="6"/>
      <c r="H232" s="6"/>
      <c r="I232" s="20"/>
      <c r="J232" s="6"/>
      <c r="K232" s="6"/>
      <c r="L232" s="6"/>
      <c r="M232" s="6"/>
      <c r="N232" s="6"/>
      <c r="O232" s="20"/>
      <c r="P232" s="6"/>
      <c r="Q232" s="6"/>
      <c r="R232" s="20"/>
    </row>
    <row r="233" spans="1:18" ht="15.75" customHeight="1">
      <c r="A233" s="20"/>
      <c r="B233" s="6"/>
      <c r="C233" s="6"/>
      <c r="D233" s="6"/>
      <c r="E233" s="6"/>
      <c r="F233" s="6"/>
      <c r="G233" s="6"/>
      <c r="H233" s="6"/>
      <c r="I233" s="20"/>
      <c r="J233" s="6"/>
      <c r="K233" s="6"/>
      <c r="L233" s="6"/>
      <c r="M233" s="6"/>
      <c r="N233" s="6"/>
      <c r="O233" s="20"/>
      <c r="P233" s="6"/>
      <c r="Q233" s="6"/>
      <c r="R233" s="20"/>
    </row>
    <row r="234" spans="1:18" ht="15.75" customHeight="1">
      <c r="A234" s="20"/>
      <c r="B234" s="6"/>
      <c r="C234" s="6"/>
      <c r="D234" s="6"/>
      <c r="E234" s="6"/>
      <c r="F234" s="6"/>
      <c r="G234" s="6"/>
      <c r="H234" s="6"/>
      <c r="I234" s="20"/>
      <c r="J234" s="6"/>
      <c r="K234" s="6"/>
      <c r="L234" s="6"/>
      <c r="M234" s="6"/>
      <c r="N234" s="6"/>
      <c r="O234" s="20"/>
      <c r="P234" s="6"/>
      <c r="Q234" s="6"/>
      <c r="R234" s="20"/>
    </row>
    <row r="235" spans="1:18" ht="15.75" customHeight="1">
      <c r="A235" s="20"/>
      <c r="B235" s="6"/>
      <c r="C235" s="6"/>
      <c r="D235" s="6"/>
      <c r="E235" s="6"/>
      <c r="F235" s="6"/>
      <c r="G235" s="6"/>
      <c r="H235" s="6"/>
      <c r="I235" s="20"/>
      <c r="J235" s="6"/>
      <c r="K235" s="6"/>
      <c r="L235" s="6"/>
      <c r="M235" s="6"/>
      <c r="N235" s="6"/>
      <c r="O235" s="20"/>
      <c r="P235" s="6"/>
      <c r="Q235" s="6"/>
      <c r="R235" s="20"/>
    </row>
    <row r="236" spans="1:18" ht="15.75" customHeight="1">
      <c r="A236" s="20"/>
      <c r="B236" s="6"/>
      <c r="C236" s="6"/>
      <c r="D236" s="6"/>
      <c r="E236" s="6"/>
      <c r="F236" s="6"/>
      <c r="G236" s="6"/>
      <c r="H236" s="6"/>
      <c r="I236" s="20"/>
      <c r="J236" s="6"/>
      <c r="K236" s="6"/>
      <c r="L236" s="6"/>
      <c r="M236" s="6"/>
      <c r="N236" s="6"/>
      <c r="O236" s="20"/>
      <c r="P236" s="6"/>
      <c r="Q236" s="6"/>
      <c r="R236" s="20"/>
    </row>
    <row r="237" spans="1:18" ht="15.75" customHeight="1">
      <c r="A237" s="20"/>
      <c r="B237" s="6"/>
      <c r="C237" s="6"/>
      <c r="D237" s="6"/>
      <c r="E237" s="6"/>
      <c r="F237" s="6"/>
      <c r="G237" s="6"/>
      <c r="H237" s="6"/>
      <c r="I237" s="20"/>
      <c r="J237" s="6"/>
      <c r="K237" s="6"/>
      <c r="L237" s="6"/>
      <c r="M237" s="6"/>
      <c r="N237" s="6"/>
      <c r="O237" s="20"/>
      <c r="P237" s="6"/>
      <c r="Q237" s="6"/>
      <c r="R237" s="20"/>
    </row>
    <row r="238" spans="1:18" ht="15.75" customHeight="1">
      <c r="A238" s="20"/>
      <c r="B238" s="6"/>
      <c r="C238" s="6"/>
      <c r="D238" s="6"/>
      <c r="E238" s="6"/>
      <c r="F238" s="6"/>
      <c r="G238" s="6"/>
      <c r="H238" s="6"/>
      <c r="I238" s="20"/>
      <c r="J238" s="6"/>
      <c r="K238" s="6"/>
      <c r="L238" s="6"/>
      <c r="M238" s="6"/>
      <c r="N238" s="6"/>
      <c r="O238" s="20"/>
      <c r="P238" s="6"/>
      <c r="Q238" s="6"/>
      <c r="R238" s="20"/>
    </row>
    <row r="239" spans="1:18" ht="15.75" customHeight="1">
      <c r="A239" s="20"/>
      <c r="B239" s="6"/>
      <c r="C239" s="6"/>
      <c r="D239" s="6"/>
      <c r="E239" s="6"/>
      <c r="F239" s="6"/>
      <c r="G239" s="6"/>
      <c r="H239" s="6"/>
      <c r="I239" s="20"/>
      <c r="J239" s="6"/>
      <c r="K239" s="6"/>
      <c r="L239" s="6"/>
      <c r="M239" s="6"/>
      <c r="N239" s="6"/>
      <c r="O239" s="20"/>
      <c r="P239" s="6"/>
      <c r="Q239" s="6"/>
      <c r="R239" s="20"/>
    </row>
    <row r="240" spans="1:18" ht="15.75" customHeight="1">
      <c r="A240" s="20"/>
      <c r="B240" s="6"/>
      <c r="C240" s="6"/>
      <c r="D240" s="6"/>
      <c r="E240" s="6"/>
      <c r="F240" s="6"/>
      <c r="G240" s="6"/>
      <c r="H240" s="6"/>
      <c r="I240" s="20"/>
      <c r="J240" s="6"/>
      <c r="K240" s="6"/>
      <c r="L240" s="6"/>
      <c r="M240" s="6"/>
      <c r="N240" s="6"/>
      <c r="O240" s="20"/>
      <c r="P240" s="6"/>
      <c r="Q240" s="6"/>
      <c r="R240" s="20"/>
    </row>
    <row r="241" spans="1:18" ht="15.75" customHeight="1">
      <c r="A241" s="20"/>
      <c r="B241" s="6"/>
      <c r="C241" s="6"/>
      <c r="D241" s="6"/>
      <c r="E241" s="6"/>
      <c r="F241" s="6"/>
      <c r="G241" s="6"/>
      <c r="H241" s="6"/>
      <c r="I241" s="20"/>
      <c r="J241" s="6"/>
      <c r="K241" s="6"/>
      <c r="L241" s="6"/>
      <c r="M241" s="6"/>
      <c r="N241" s="6"/>
      <c r="O241" s="20"/>
      <c r="P241" s="6"/>
      <c r="Q241" s="6"/>
      <c r="R241" s="20"/>
    </row>
    <row r="242" spans="1:18" ht="15.75" customHeight="1">
      <c r="A242" s="20"/>
      <c r="B242" s="6"/>
      <c r="C242" s="6"/>
      <c r="D242" s="6"/>
      <c r="E242" s="6"/>
      <c r="F242" s="6"/>
      <c r="G242" s="6"/>
      <c r="H242" s="6"/>
      <c r="I242" s="20"/>
      <c r="J242" s="6"/>
      <c r="K242" s="6"/>
      <c r="L242" s="6"/>
      <c r="M242" s="6"/>
      <c r="N242" s="6"/>
      <c r="O242" s="20"/>
      <c r="P242" s="6"/>
      <c r="Q242" s="6"/>
      <c r="R242" s="20"/>
    </row>
    <row r="243" spans="1:18" ht="15.75" customHeight="1">
      <c r="A243" s="20"/>
      <c r="B243" s="6"/>
      <c r="C243" s="6"/>
      <c r="D243" s="6"/>
      <c r="E243" s="6"/>
      <c r="F243" s="6"/>
      <c r="G243" s="6"/>
      <c r="H243" s="6"/>
      <c r="I243" s="20"/>
      <c r="J243" s="6"/>
      <c r="K243" s="6"/>
      <c r="L243" s="6"/>
      <c r="M243" s="6"/>
      <c r="N243" s="6"/>
      <c r="O243" s="20"/>
      <c r="P243" s="6"/>
      <c r="Q243" s="6"/>
      <c r="R243" s="20"/>
    </row>
    <row r="244" spans="1:18" ht="15.75" customHeight="1">
      <c r="A244" s="20"/>
      <c r="B244" s="6"/>
      <c r="C244" s="6"/>
      <c r="D244" s="6"/>
      <c r="E244" s="6"/>
      <c r="F244" s="6"/>
      <c r="G244" s="6"/>
      <c r="H244" s="6"/>
      <c r="I244" s="20"/>
      <c r="J244" s="6"/>
      <c r="K244" s="6"/>
      <c r="L244" s="6"/>
      <c r="N244" s="6"/>
      <c r="O244" s="20"/>
      <c r="P244" s="6"/>
      <c r="Q244" s="6"/>
      <c r="R244" s="20"/>
    </row>
    <row r="245" spans="1:18" ht="15.75" customHeight="1">
      <c r="A245" s="20"/>
      <c r="B245" s="6"/>
      <c r="C245" s="6"/>
      <c r="D245" s="6"/>
      <c r="E245" s="6"/>
      <c r="F245" s="6"/>
      <c r="G245" s="6"/>
      <c r="H245" s="6"/>
      <c r="I245" s="20"/>
      <c r="J245" s="6"/>
      <c r="K245" s="6"/>
      <c r="L245" s="6"/>
      <c r="N245" s="6"/>
      <c r="O245" s="20"/>
      <c r="P245" s="6"/>
      <c r="Q245" s="6"/>
      <c r="R245" s="20"/>
    </row>
    <row r="246" spans="1:18" ht="15.75" customHeight="1">
      <c r="B246" s="6"/>
      <c r="C246" s="6"/>
      <c r="D246" s="6"/>
      <c r="E246" s="6"/>
      <c r="F246" s="6"/>
      <c r="G246" s="6"/>
      <c r="H246" s="6"/>
      <c r="I246" s="20"/>
      <c r="J246" s="6"/>
      <c r="K246" s="6"/>
      <c r="L246" s="6"/>
      <c r="N246" s="6"/>
      <c r="O246" s="20"/>
      <c r="P246" s="6"/>
      <c r="Q246" s="6"/>
      <c r="R246" s="20"/>
    </row>
    <row r="247" spans="1:18" ht="15.75" customHeight="1">
      <c r="B247" s="6"/>
      <c r="C247" s="6"/>
      <c r="D247" s="6"/>
      <c r="E247" s="6"/>
      <c r="F247" s="6"/>
      <c r="G247" s="6"/>
      <c r="H247" s="6"/>
      <c r="I247" s="20"/>
      <c r="J247" s="6"/>
      <c r="K247" s="6"/>
      <c r="L247" s="6"/>
      <c r="N247" s="6"/>
      <c r="O247" s="20"/>
      <c r="P247" s="6"/>
      <c r="Q247" s="6"/>
      <c r="R247" s="20"/>
    </row>
    <row r="248" spans="1:18" ht="15.75" customHeight="1">
      <c r="B248" s="6"/>
      <c r="C248" s="6"/>
      <c r="D248" s="6"/>
      <c r="E248" s="6"/>
      <c r="F248" s="6"/>
      <c r="G248" s="6"/>
      <c r="H248" s="6"/>
      <c r="I248" s="20"/>
      <c r="J248" s="6"/>
      <c r="K248" s="6"/>
      <c r="L248" s="6"/>
      <c r="N248" s="6"/>
      <c r="O248" s="20"/>
      <c r="P248" s="6"/>
      <c r="Q248" s="6"/>
      <c r="R248" s="20"/>
    </row>
    <row r="249" spans="1:18" ht="15.75" customHeight="1">
      <c r="J249" s="6"/>
      <c r="K249" s="6"/>
      <c r="L249" s="6"/>
      <c r="N249" s="6"/>
      <c r="O249" s="20"/>
      <c r="P249" s="6"/>
      <c r="Q249" s="6"/>
      <c r="R249" s="20"/>
    </row>
    <row r="250" spans="1:18" ht="15.75" customHeight="1">
      <c r="J250" s="6"/>
      <c r="K250" s="6"/>
      <c r="L250" s="6"/>
      <c r="N250" s="6"/>
      <c r="O250" s="20"/>
      <c r="P250" s="6"/>
      <c r="Q250" s="6"/>
      <c r="R250" s="20"/>
    </row>
    <row r="251" spans="1:18" ht="15.75" customHeight="1">
      <c r="J251" s="6"/>
      <c r="K251" s="6"/>
      <c r="L251" s="6"/>
      <c r="N251" s="6"/>
      <c r="O251" s="20"/>
      <c r="P251" s="6"/>
      <c r="Q251" s="6"/>
      <c r="R251" s="20"/>
    </row>
    <row r="252" spans="1:18" ht="15.75" customHeight="1">
      <c r="J252" s="6"/>
      <c r="K252" s="6"/>
      <c r="L252" s="6"/>
      <c r="N252" s="6"/>
      <c r="O252" s="20"/>
      <c r="P252" s="6"/>
      <c r="Q252" s="6"/>
      <c r="R252" s="20"/>
    </row>
    <row r="253" spans="1:18" ht="15.75" customHeight="1">
      <c r="J253" s="6"/>
      <c r="K253" s="6"/>
      <c r="L253" s="6"/>
      <c r="N253" s="6"/>
      <c r="O253" s="20"/>
      <c r="P253" s="6"/>
      <c r="Q253" s="6"/>
      <c r="R253" s="20"/>
    </row>
    <row r="254" spans="1:18" ht="15.75" customHeight="1">
      <c r="J254" s="6"/>
      <c r="K254" s="6"/>
      <c r="L254" s="6"/>
      <c r="N254" s="6"/>
      <c r="O254" s="20"/>
      <c r="P254" s="6"/>
      <c r="Q254" s="6"/>
      <c r="R254" s="20"/>
    </row>
    <row r="255" spans="1:18" ht="15.75" customHeight="1">
      <c r="J255" s="6"/>
      <c r="K255" s="6"/>
      <c r="L255" s="6"/>
      <c r="N255" s="6"/>
      <c r="O255" s="20"/>
      <c r="P255" s="6"/>
      <c r="Q255" s="6"/>
      <c r="R255" s="20"/>
    </row>
    <row r="256" spans="1:18" ht="15.75" customHeight="1">
      <c r="J256" s="6"/>
      <c r="K256" s="6"/>
      <c r="L256" s="6"/>
      <c r="N256" s="6"/>
      <c r="O256" s="20"/>
      <c r="P256" s="6"/>
      <c r="Q256" s="6"/>
      <c r="R256" s="20"/>
    </row>
    <row r="257" spans="10:18" ht="15.75" customHeight="1">
      <c r="J257" s="6"/>
      <c r="K257" s="6"/>
      <c r="L257" s="6"/>
      <c r="N257" s="6"/>
      <c r="O257" s="20"/>
      <c r="P257" s="6"/>
      <c r="Q257" s="6"/>
      <c r="R257" s="20"/>
    </row>
    <row r="258" spans="10:18" ht="15.75" customHeight="1">
      <c r="J258" s="6"/>
      <c r="K258" s="6"/>
      <c r="L258" s="6"/>
      <c r="N258" s="6"/>
      <c r="O258" s="20"/>
      <c r="P258" s="6"/>
      <c r="Q258" s="6"/>
      <c r="R258" s="20"/>
    </row>
    <row r="259" spans="10:18" ht="15.75" customHeight="1">
      <c r="J259" s="6"/>
      <c r="K259" s="6"/>
      <c r="L259" s="6"/>
      <c r="N259" s="6"/>
      <c r="O259" s="20"/>
      <c r="P259" s="6"/>
      <c r="Q259" s="6"/>
      <c r="R259" s="20"/>
    </row>
    <row r="260" spans="10:18" ht="15.75" customHeight="1">
      <c r="J260" s="6"/>
      <c r="K260" s="6"/>
      <c r="L260" s="6"/>
      <c r="N260" s="6"/>
      <c r="O260" s="20"/>
      <c r="P260" s="6"/>
      <c r="Q260" s="6"/>
      <c r="R260" s="20"/>
    </row>
    <row r="261" spans="10:18" ht="15.75" customHeight="1">
      <c r="J261" s="6"/>
      <c r="K261" s="6"/>
      <c r="L261" s="6"/>
      <c r="N261" s="6"/>
      <c r="O261" s="20"/>
      <c r="P261" s="6"/>
      <c r="Q261" s="6"/>
      <c r="R261" s="20"/>
    </row>
    <row r="262" spans="10:18" ht="15.75" customHeight="1">
      <c r="J262" s="6"/>
      <c r="K262" s="6"/>
      <c r="L262" s="6"/>
      <c r="N262" s="6"/>
      <c r="O262" s="20"/>
      <c r="P262" s="6"/>
      <c r="Q262" s="6"/>
      <c r="R262" s="20"/>
    </row>
    <row r="263" spans="10:18" ht="15.75" customHeight="1">
      <c r="J263" s="6"/>
      <c r="K263" s="6"/>
      <c r="L263" s="6"/>
      <c r="N263" s="6"/>
      <c r="O263" s="20"/>
      <c r="P263" s="6"/>
      <c r="Q263" s="6"/>
      <c r="R263" s="20"/>
    </row>
    <row r="264" spans="10:18" ht="15.75" customHeight="1">
      <c r="J264" s="6"/>
      <c r="K264" s="6"/>
      <c r="L264" s="6"/>
      <c r="N264" s="6"/>
      <c r="O264" s="20"/>
      <c r="P264" s="6"/>
      <c r="Q264" s="6"/>
      <c r="R264" s="20"/>
    </row>
    <row r="265" spans="10:18" ht="15.75" customHeight="1">
      <c r="J265" s="6"/>
      <c r="K265" s="6"/>
      <c r="L265" s="6"/>
      <c r="N265" s="6"/>
      <c r="O265" s="20"/>
      <c r="P265" s="6"/>
      <c r="Q265" s="6"/>
      <c r="R265" s="20"/>
    </row>
    <row r="266" spans="10:18" ht="15.75" customHeight="1">
      <c r="J266" s="6"/>
      <c r="K266" s="6"/>
      <c r="L266" s="6"/>
      <c r="N266" s="6"/>
      <c r="O266" s="20"/>
      <c r="P266" s="6"/>
      <c r="Q266" s="6"/>
      <c r="R266" s="20"/>
    </row>
    <row r="267" spans="10:18" ht="15.75" customHeight="1">
      <c r="J267" s="6"/>
      <c r="K267" s="6"/>
      <c r="L267" s="6"/>
      <c r="N267" s="6"/>
      <c r="O267" s="20"/>
      <c r="P267" s="6"/>
      <c r="Q267" s="6"/>
      <c r="R267" s="20"/>
    </row>
    <row r="268" spans="10:18" ht="15" customHeight="1">
      <c r="J268" s="6"/>
      <c r="K268" s="6"/>
      <c r="L268" s="6"/>
      <c r="N268" s="6"/>
      <c r="O268" s="20"/>
      <c r="P268" s="6"/>
      <c r="Q268" s="6"/>
      <c r="R268" s="20"/>
    </row>
    <row r="269" spans="10:18" ht="15" customHeight="1">
      <c r="J269" s="6"/>
      <c r="K269" s="6"/>
      <c r="L269" s="6"/>
      <c r="N269" s="6"/>
      <c r="O269" s="20"/>
      <c r="P269" s="6"/>
      <c r="Q269" s="6"/>
      <c r="R269" s="20"/>
    </row>
    <row r="270" spans="10:18" ht="15" customHeight="1">
      <c r="J270" s="6"/>
      <c r="K270" s="6"/>
      <c r="L270" s="6"/>
      <c r="N270" s="6"/>
      <c r="O270" s="20"/>
      <c r="P270" s="6"/>
      <c r="Q270" s="6"/>
      <c r="R270" s="20"/>
    </row>
    <row r="271" spans="10:18" ht="15" customHeight="1">
      <c r="J271" s="6"/>
      <c r="K271" s="6"/>
      <c r="L271" s="6"/>
      <c r="N271" s="6"/>
      <c r="O271" s="20"/>
      <c r="P271" s="6"/>
      <c r="Q271" s="6"/>
      <c r="R271" s="20"/>
    </row>
    <row r="272" spans="10:18" ht="15" customHeight="1">
      <c r="J272" s="6"/>
      <c r="K272" s="6"/>
      <c r="L272" s="6"/>
      <c r="N272" s="6"/>
      <c r="O272" s="20"/>
      <c r="P272" s="6"/>
      <c r="Q272" s="6"/>
      <c r="R272" s="20"/>
    </row>
    <row r="273" spans="10:18" ht="15" customHeight="1">
      <c r="J273" s="6"/>
      <c r="K273" s="6"/>
      <c r="L273" s="6"/>
      <c r="N273" s="6"/>
      <c r="O273" s="20"/>
      <c r="P273" s="6"/>
      <c r="Q273" s="6"/>
      <c r="R273" s="20"/>
    </row>
    <row r="274" spans="10:18" ht="15" customHeight="1">
      <c r="J274" s="6"/>
      <c r="K274" s="6"/>
      <c r="L274" s="6"/>
      <c r="N274" s="6"/>
      <c r="O274" s="20"/>
      <c r="P274" s="6"/>
      <c r="Q274" s="6"/>
      <c r="R274" s="20"/>
    </row>
    <row r="275" spans="10:18" ht="15" customHeight="1">
      <c r="J275" s="6"/>
      <c r="K275" s="6"/>
      <c r="L275" s="6"/>
      <c r="N275" s="6"/>
      <c r="O275" s="20"/>
      <c r="P275" s="6"/>
      <c r="Q275" s="6"/>
      <c r="R275" s="20"/>
    </row>
    <row r="276" spans="10:18" ht="15" customHeight="1">
      <c r="J276" s="6"/>
      <c r="K276" s="6"/>
      <c r="L276" s="6"/>
      <c r="N276" s="6"/>
      <c r="O276" s="20"/>
      <c r="P276" s="6"/>
      <c r="Q276" s="6"/>
      <c r="R276" s="20"/>
    </row>
    <row r="277" spans="10:18" ht="15" customHeight="1">
      <c r="J277" s="6"/>
      <c r="K277" s="6"/>
      <c r="L277" s="6"/>
      <c r="N277" s="6"/>
      <c r="O277" s="20"/>
      <c r="P277" s="6"/>
      <c r="Q277" s="6"/>
      <c r="R277" s="20"/>
    </row>
    <row r="278" spans="10:18" ht="15" customHeight="1">
      <c r="J278" s="6"/>
      <c r="K278" s="6"/>
      <c r="L278" s="6"/>
      <c r="N278" s="6"/>
      <c r="O278" s="20"/>
      <c r="P278" s="6"/>
      <c r="Q278" s="6"/>
      <c r="R278" s="20"/>
    </row>
    <row r="279" spans="10:18" ht="15" customHeight="1">
      <c r="J279" s="6"/>
      <c r="K279" s="6"/>
      <c r="L279" s="6"/>
      <c r="N279" s="6"/>
      <c r="O279" s="20"/>
      <c r="P279" s="6"/>
      <c r="Q279" s="6"/>
      <c r="R279" s="20"/>
    </row>
    <row r="280" spans="10:18" ht="15" customHeight="1">
      <c r="K280" s="6"/>
      <c r="L280" s="6"/>
      <c r="N280" s="6"/>
      <c r="O280" s="20"/>
      <c r="P280" s="6"/>
      <c r="Q280" s="6"/>
      <c r="R280" s="20"/>
    </row>
    <row r="281" spans="10:18" ht="15" customHeight="1">
      <c r="K281" s="6"/>
      <c r="L281" s="6"/>
      <c r="N281" s="6"/>
      <c r="O281" s="20"/>
      <c r="P281" s="6"/>
      <c r="Q281" s="6"/>
      <c r="R281" s="20"/>
    </row>
    <row r="282" spans="10:18" ht="15" customHeight="1">
      <c r="K282" s="6"/>
      <c r="L282" s="6"/>
      <c r="N282" s="6"/>
      <c r="O282" s="20"/>
      <c r="P282" s="6"/>
      <c r="Q282" s="6"/>
      <c r="R282" s="20"/>
    </row>
    <row r="283" spans="10:18" ht="15" customHeight="1">
      <c r="K283" s="6"/>
      <c r="L283" s="6"/>
      <c r="N283" s="6"/>
      <c r="O283" s="20"/>
      <c r="P283" s="6"/>
      <c r="Q283" s="6"/>
      <c r="R283" s="20"/>
    </row>
    <row r="284" spans="10:18" ht="15" customHeight="1">
      <c r="K284" s="6"/>
      <c r="L284" s="6"/>
      <c r="N284" s="6"/>
      <c r="O284" s="20"/>
      <c r="P284" s="6"/>
      <c r="Q284" s="6"/>
      <c r="R284" s="20"/>
    </row>
    <row r="285" spans="10:18" ht="15" customHeight="1">
      <c r="K285" s="6"/>
      <c r="L285" s="6"/>
      <c r="N285" s="6"/>
      <c r="O285" s="20"/>
      <c r="P285" s="6"/>
      <c r="Q285" s="6"/>
      <c r="R285" s="20"/>
    </row>
    <row r="286" spans="10:18" ht="15" customHeight="1">
      <c r="K286" s="6"/>
      <c r="L286" s="6"/>
      <c r="N286" s="6"/>
      <c r="O286" s="20"/>
      <c r="P286" s="6"/>
      <c r="Q286" s="6"/>
      <c r="R286" s="20"/>
    </row>
    <row r="287" spans="10:18" ht="15" customHeight="1">
      <c r="K287" s="6"/>
      <c r="L287" s="6"/>
      <c r="N287" s="6"/>
      <c r="O287" s="20"/>
      <c r="P287" s="6"/>
      <c r="Q287" s="6"/>
      <c r="R287" s="20"/>
    </row>
    <row r="288" spans="10:18" ht="15" customHeight="1">
      <c r="K288" s="6"/>
      <c r="L288" s="6"/>
      <c r="N288" s="6"/>
      <c r="O288" s="20"/>
      <c r="P288" s="6"/>
      <c r="Q288" s="6"/>
      <c r="R288" s="20"/>
    </row>
    <row r="289" spans="11:18" ht="15" customHeight="1">
      <c r="K289" s="6"/>
      <c r="L289" s="6"/>
      <c r="N289" s="6"/>
      <c r="O289" s="20"/>
      <c r="P289" s="6"/>
      <c r="Q289" s="6"/>
      <c r="R289" s="20"/>
    </row>
    <row r="290" spans="11:18" ht="15" customHeight="1">
      <c r="K290" s="6"/>
      <c r="L290" s="6"/>
      <c r="N290" s="6"/>
      <c r="O290" s="20"/>
      <c r="P290" s="6"/>
      <c r="Q290" s="6"/>
      <c r="R290" s="20"/>
    </row>
    <row r="291" spans="11:18" ht="15" customHeight="1">
      <c r="K291" s="6"/>
      <c r="L291" s="6"/>
      <c r="N291" s="6"/>
      <c r="O291" s="20"/>
      <c r="P291" s="6"/>
      <c r="Q291" s="6"/>
      <c r="R291" s="20"/>
    </row>
    <row r="292" spans="11:18" ht="15" customHeight="1">
      <c r="K292" s="6"/>
      <c r="L292" s="6"/>
      <c r="N292" s="6"/>
      <c r="O292" s="20"/>
      <c r="P292" s="6"/>
      <c r="Q292" s="6"/>
      <c r="R292" s="20"/>
    </row>
    <row r="293" spans="11:18" ht="15" customHeight="1">
      <c r="K293" s="6"/>
      <c r="L293" s="6"/>
      <c r="N293" s="6"/>
      <c r="O293" s="20"/>
      <c r="P293" s="6"/>
      <c r="Q293" s="6"/>
      <c r="R293" s="20"/>
    </row>
    <row r="294" spans="11:18" ht="15" customHeight="1">
      <c r="K294" s="6"/>
      <c r="L294" s="6"/>
      <c r="N294" s="6"/>
      <c r="O294" s="20"/>
      <c r="P294" s="6"/>
      <c r="Q294" s="6"/>
      <c r="R294" s="20"/>
    </row>
    <row r="295" spans="11:18" ht="15" customHeight="1">
      <c r="K295" s="6"/>
      <c r="L295" s="6"/>
      <c r="N295" s="6"/>
      <c r="O295" s="20"/>
      <c r="P295" s="6"/>
      <c r="Q295" s="6"/>
      <c r="R295" s="20"/>
    </row>
    <row r="296" spans="11:18" ht="15" customHeight="1">
      <c r="K296" s="6"/>
      <c r="L296" s="6"/>
      <c r="N296" s="6"/>
      <c r="O296" s="20"/>
      <c r="P296" s="6"/>
      <c r="Q296" s="6"/>
      <c r="R296" s="20"/>
    </row>
    <row r="297" spans="11:18" ht="15" customHeight="1">
      <c r="K297" s="6"/>
      <c r="L297" s="6"/>
      <c r="N297" s="6"/>
      <c r="O297" s="20"/>
      <c r="P297" s="6"/>
      <c r="Q297" s="6"/>
      <c r="R297" s="20"/>
    </row>
    <row r="298" spans="11:18" ht="15" customHeight="1">
      <c r="K298" s="6"/>
      <c r="L298" s="6"/>
      <c r="N298" s="6"/>
      <c r="O298" s="20"/>
      <c r="P298" s="6"/>
      <c r="Q298" s="6"/>
      <c r="R298" s="20"/>
    </row>
    <row r="299" spans="11:18" ht="15" customHeight="1">
      <c r="K299" s="6"/>
      <c r="L299" s="6"/>
      <c r="N299" s="6"/>
      <c r="O299" s="20"/>
      <c r="P299" s="6"/>
      <c r="Q299" s="6"/>
      <c r="R299" s="20"/>
    </row>
    <row r="300" spans="11:18" ht="15" customHeight="1">
      <c r="K300" s="6"/>
      <c r="L300" s="6"/>
      <c r="N300" s="6"/>
      <c r="O300" s="20"/>
      <c r="P300" s="6"/>
      <c r="Q300" s="6"/>
      <c r="R300" s="20"/>
    </row>
    <row r="301" spans="11:18" ht="15" customHeight="1">
      <c r="K301" s="6"/>
      <c r="L301" s="6"/>
      <c r="N301" s="6"/>
      <c r="O301" s="20"/>
      <c r="P301" s="6"/>
      <c r="Q301" s="6"/>
      <c r="R301" s="20"/>
    </row>
    <row r="302" spans="11:18" ht="15" customHeight="1">
      <c r="K302" s="6"/>
      <c r="L302" s="6"/>
      <c r="N302" s="6"/>
      <c r="O302" s="20"/>
      <c r="P302" s="6"/>
      <c r="Q302" s="6"/>
      <c r="R302" s="20"/>
    </row>
    <row r="303" spans="11:18" ht="15" customHeight="1">
      <c r="K303" s="6"/>
      <c r="L303" s="6"/>
      <c r="N303" s="6"/>
      <c r="O303" s="20"/>
      <c r="P303" s="6"/>
      <c r="Q303" s="6"/>
      <c r="R303" s="20"/>
    </row>
    <row r="304" spans="11:18" ht="15" customHeight="1">
      <c r="K304" s="6"/>
      <c r="L304" s="6"/>
      <c r="N304" s="6"/>
      <c r="O304" s="20"/>
      <c r="P304" s="6"/>
      <c r="Q304" s="6"/>
      <c r="R304" s="20"/>
    </row>
    <row r="305" spans="11:18" ht="15" customHeight="1">
      <c r="K305" s="6"/>
      <c r="L305" s="6"/>
      <c r="N305" s="6"/>
      <c r="O305" s="20"/>
      <c r="P305" s="6"/>
      <c r="Q305" s="6"/>
      <c r="R305" s="20"/>
    </row>
    <row r="306" spans="11:18" ht="15" customHeight="1">
      <c r="K306" s="6"/>
      <c r="L306" s="6"/>
      <c r="N306" s="6"/>
      <c r="O306" s="20"/>
      <c r="P306" s="6"/>
      <c r="Q306" s="6"/>
      <c r="R306" s="20"/>
    </row>
    <row r="307" spans="11:18" ht="15" customHeight="1">
      <c r="K307" s="6"/>
      <c r="L307" s="6"/>
      <c r="N307" s="6"/>
      <c r="O307" s="20"/>
      <c r="P307" s="6"/>
      <c r="Q307" s="6"/>
      <c r="R307" s="20"/>
    </row>
    <row r="308" spans="11:18" ht="15" customHeight="1">
      <c r="K308" s="6"/>
      <c r="L308" s="6"/>
      <c r="N308" s="6"/>
      <c r="O308" s="20"/>
      <c r="P308" s="6"/>
      <c r="Q308" s="6"/>
      <c r="R308" s="20"/>
    </row>
    <row r="309" spans="11:18" ht="15" customHeight="1">
      <c r="K309" s="6"/>
      <c r="L309" s="6"/>
      <c r="N309" s="6"/>
      <c r="O309" s="20"/>
      <c r="P309" s="6"/>
      <c r="Q309" s="6"/>
      <c r="R309" s="20"/>
    </row>
    <row r="310" spans="11:18" ht="15" customHeight="1">
      <c r="K310" s="6"/>
      <c r="L310" s="6"/>
      <c r="N310" s="6"/>
      <c r="O310" s="20"/>
      <c r="P310" s="6"/>
      <c r="Q310" s="6"/>
      <c r="R310" s="20"/>
    </row>
    <row r="311" spans="11:18" ht="15" customHeight="1">
      <c r="K311" s="6"/>
      <c r="L311" s="6"/>
      <c r="N311" s="6"/>
      <c r="O311" s="20"/>
      <c r="P311" s="6"/>
      <c r="Q311" s="6"/>
      <c r="R311" s="20"/>
    </row>
    <row r="312" spans="11:18" ht="15" customHeight="1">
      <c r="K312" s="6"/>
      <c r="L312" s="6"/>
      <c r="N312" s="6"/>
      <c r="O312" s="20"/>
      <c r="P312" s="6"/>
      <c r="Q312" s="6"/>
      <c r="R312" s="20"/>
    </row>
    <row r="313" spans="11:18" ht="15" customHeight="1">
      <c r="K313" s="6"/>
      <c r="L313" s="6"/>
      <c r="N313" s="6"/>
      <c r="O313" s="20"/>
      <c r="P313" s="6"/>
      <c r="Q313" s="6"/>
      <c r="R313" s="20"/>
    </row>
    <row r="314" spans="11:18" ht="15" customHeight="1">
      <c r="K314" s="6"/>
      <c r="L314" s="6"/>
      <c r="N314" s="6"/>
      <c r="O314" s="20"/>
      <c r="P314" s="6"/>
      <c r="Q314" s="6"/>
      <c r="R314" s="20"/>
    </row>
    <row r="315" spans="11:18" ht="15" customHeight="1">
      <c r="K315" s="6"/>
      <c r="L315" s="6"/>
      <c r="N315" s="6"/>
      <c r="O315" s="20"/>
      <c r="P315" s="6"/>
      <c r="Q315" s="6"/>
      <c r="R315" s="20"/>
    </row>
    <row r="316" spans="11:18" ht="15" customHeight="1">
      <c r="K316" s="6"/>
      <c r="L316" s="6"/>
      <c r="N316" s="6"/>
      <c r="O316" s="20"/>
      <c r="P316" s="6"/>
      <c r="Q316" s="6"/>
      <c r="R316" s="20"/>
    </row>
    <row r="317" spans="11:18" ht="15" customHeight="1">
      <c r="K317" s="6"/>
      <c r="L317" s="6"/>
      <c r="N317" s="6"/>
      <c r="O317" s="20"/>
      <c r="P317" s="6"/>
      <c r="Q317" s="6"/>
      <c r="R317" s="20"/>
    </row>
    <row r="318" spans="11:18" ht="15" customHeight="1">
      <c r="K318" s="6"/>
      <c r="L318" s="6"/>
      <c r="N318" s="6"/>
      <c r="O318" s="20"/>
      <c r="P318" s="6"/>
      <c r="Q318" s="6"/>
      <c r="R318" s="20"/>
    </row>
    <row r="319" spans="11:18" ht="15" customHeight="1">
      <c r="K319" s="6"/>
      <c r="L319" s="6"/>
      <c r="N319" s="6"/>
      <c r="O319" s="20"/>
      <c r="P319" s="6"/>
      <c r="Q319" s="6"/>
      <c r="R319" s="20"/>
    </row>
    <row r="320" spans="11:18" ht="15" customHeight="1">
      <c r="K320" s="6"/>
      <c r="L320" s="6"/>
      <c r="N320" s="6"/>
      <c r="O320" s="20"/>
      <c r="P320" s="6"/>
      <c r="Q320" s="6"/>
      <c r="R320" s="20"/>
    </row>
    <row r="321" spans="11:18" ht="15" customHeight="1">
      <c r="K321" s="6"/>
      <c r="L321" s="6"/>
      <c r="N321" s="6"/>
      <c r="O321" s="20"/>
      <c r="P321" s="6"/>
      <c r="Q321" s="6"/>
      <c r="R321" s="20"/>
    </row>
    <row r="322" spans="11:18" ht="15" customHeight="1">
      <c r="K322" s="6"/>
      <c r="L322" s="6"/>
      <c r="N322" s="6"/>
      <c r="O322" s="20"/>
      <c r="P322" s="6"/>
      <c r="Q322" s="6"/>
      <c r="R322" s="20"/>
    </row>
    <row r="323" spans="11:18" ht="15" customHeight="1">
      <c r="K323" s="6"/>
      <c r="L323" s="6"/>
      <c r="N323" s="6"/>
      <c r="O323" s="20"/>
      <c r="P323" s="6"/>
      <c r="Q323" s="6"/>
      <c r="R323" s="20"/>
    </row>
  </sheetData>
  <mergeCells count="56">
    <mergeCell ref="K85:L85"/>
    <mergeCell ref="K93:L93"/>
    <mergeCell ref="K96:L96"/>
    <mergeCell ref="K97:L97"/>
    <mergeCell ref="K98:L98"/>
    <mergeCell ref="K70:L70"/>
    <mergeCell ref="K73:L73"/>
    <mergeCell ref="K74:L74"/>
    <mergeCell ref="K81:L81"/>
    <mergeCell ref="K71:L71"/>
    <mergeCell ref="R104:R106"/>
    <mergeCell ref="O46:P47"/>
    <mergeCell ref="K46:L46"/>
    <mergeCell ref="O2:P3"/>
    <mergeCell ref="K38:L38"/>
    <mergeCell ref="O38:P39"/>
    <mergeCell ref="K2:L2"/>
    <mergeCell ref="M46:M47"/>
    <mergeCell ref="O53:P54"/>
    <mergeCell ref="O61:P62"/>
    <mergeCell ref="O78:P80"/>
    <mergeCell ref="K7:L7"/>
    <mergeCell ref="K8:L8"/>
    <mergeCell ref="K11:L11"/>
    <mergeCell ref="K14:L14"/>
    <mergeCell ref="K69:L69"/>
    <mergeCell ref="B97:C97"/>
    <mergeCell ref="K79:K80"/>
    <mergeCell ref="D2:D5"/>
    <mergeCell ref="F5:H5"/>
    <mergeCell ref="F94:G95"/>
    <mergeCell ref="B94:C94"/>
    <mergeCell ref="D94:D95"/>
    <mergeCell ref="K35:R36"/>
    <mergeCell ref="B3:B5"/>
    <mergeCell ref="C3:C5"/>
    <mergeCell ref="M53:M54"/>
    <mergeCell ref="M61:M62"/>
    <mergeCell ref="M78:M80"/>
    <mergeCell ref="L79:L80"/>
    <mergeCell ref="K53:L53"/>
    <mergeCell ref="K78:L78"/>
    <mergeCell ref="B2:C2"/>
    <mergeCell ref="M2:M3"/>
    <mergeCell ref="K61:L61"/>
    <mergeCell ref="M38:M39"/>
    <mergeCell ref="F2:G4"/>
    <mergeCell ref="B23:C23"/>
    <mergeCell ref="B28:C28"/>
    <mergeCell ref="B30:C30"/>
    <mergeCell ref="B52:C52"/>
    <mergeCell ref="K26:L26"/>
    <mergeCell ref="K30:L30"/>
    <mergeCell ref="K34:L34"/>
    <mergeCell ref="K43:L43"/>
    <mergeCell ref="K44:L44"/>
  </mergeCells>
  <printOptions horizontalCentered="1" verticalCentered="1"/>
  <pageMargins left="0.23622047244094491" right="0.23622047244094491" top="0.39370078740157483" bottom="0.39370078740157483" header="0" footer="0"/>
  <pageSetup scale="4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254"/>
  <sheetViews>
    <sheetView zoomScale="70" zoomScaleNormal="70" workbookViewId="0">
      <selection activeCell="H47" sqref="H47:I47"/>
    </sheetView>
  </sheetViews>
  <sheetFormatPr baseColWidth="10" defaultColWidth="14.42578125" defaultRowHeight="15" customHeight="1"/>
  <cols>
    <col min="1" max="1" width="1.7109375" style="1" customWidth="1"/>
    <col min="2" max="2" width="8.7109375" style="1" customWidth="1"/>
    <col min="3" max="4" width="10.140625" style="1" customWidth="1"/>
    <col min="5" max="5" width="0.7109375" style="1" customWidth="1"/>
    <col min="6" max="6" width="11" style="535" customWidth="1"/>
    <col min="7" max="7" width="13.28515625" style="1" bestFit="1" customWidth="1"/>
    <col min="8" max="8" width="10.28515625" style="1" customWidth="1"/>
    <col min="9" max="9" width="41" style="1" customWidth="1"/>
    <col min="10" max="10" width="11" style="3" customWidth="1"/>
    <col min="11" max="11" width="1.7109375" style="1" customWidth="1"/>
    <col min="12" max="12" width="9.7109375" style="3" customWidth="1"/>
    <col min="13" max="14" width="11.42578125" style="1" customWidth="1"/>
    <col min="15" max="15" width="0.7109375" style="1" customWidth="1"/>
    <col min="16" max="16" width="12.28515625" style="332" customWidth="1"/>
    <col min="17" max="17" width="15.7109375" style="1" customWidth="1"/>
    <col min="18" max="18" width="42.28515625" style="1" customWidth="1"/>
    <col min="19" max="19" width="11.7109375" style="3" bestFit="1" customWidth="1"/>
    <col min="20" max="20" width="12.42578125" style="414" bestFit="1" customWidth="1"/>
    <col min="21" max="21" width="26.42578125" style="1" bestFit="1" customWidth="1"/>
    <col min="22" max="23" width="14.42578125" style="1"/>
    <col min="24" max="24" width="43.42578125" style="1" bestFit="1" customWidth="1"/>
    <col min="25" max="16384" width="14.42578125" style="1"/>
  </cols>
  <sheetData>
    <row r="1" spans="1:20" ht="15" customHeight="1" thickBot="1">
      <c r="I1" s="58"/>
      <c r="R1" s="2373" t="s">
        <v>1046</v>
      </c>
      <c r="S1" s="2373"/>
    </row>
    <row r="2" spans="1:20" ht="15" customHeight="1">
      <c r="B2" s="1912" t="s">
        <v>640</v>
      </c>
      <c r="C2" s="1962"/>
      <c r="D2" s="2322" t="s">
        <v>1174</v>
      </c>
      <c r="E2" s="394"/>
      <c r="F2" s="2315" t="s">
        <v>483</v>
      </c>
      <c r="G2" s="2316"/>
      <c r="H2" s="2309" t="s">
        <v>292</v>
      </c>
      <c r="I2" s="2310"/>
      <c r="J2" s="436" t="s">
        <v>723</v>
      </c>
      <c r="K2" s="173"/>
      <c r="L2" s="1912" t="s">
        <v>640</v>
      </c>
      <c r="M2" s="1913"/>
      <c r="N2" s="2329" t="s">
        <v>1174</v>
      </c>
      <c r="O2" s="72"/>
      <c r="P2" s="1918" t="s">
        <v>773</v>
      </c>
      <c r="Q2" s="2374"/>
      <c r="R2" s="495" t="s">
        <v>430</v>
      </c>
      <c r="S2" s="436" t="s">
        <v>723</v>
      </c>
      <c r="T2" s="415"/>
    </row>
    <row r="3" spans="1:20" ht="15.75">
      <c r="A3" s="6"/>
      <c r="B3" s="83" t="s">
        <v>5</v>
      </c>
      <c r="C3" s="287" t="s">
        <v>6</v>
      </c>
      <c r="D3" s="2323"/>
      <c r="E3" s="395"/>
      <c r="F3" s="2317"/>
      <c r="G3" s="2318"/>
      <c r="H3" s="2311" t="s">
        <v>655</v>
      </c>
      <c r="I3" s="2312"/>
      <c r="J3" s="367" t="s">
        <v>400</v>
      </c>
      <c r="K3" s="173"/>
      <c r="L3" s="28" t="s">
        <v>5</v>
      </c>
      <c r="M3" s="912" t="s">
        <v>6</v>
      </c>
      <c r="N3" s="2330"/>
      <c r="O3" s="1275"/>
      <c r="P3" s="2375"/>
      <c r="Q3" s="2376"/>
      <c r="R3" s="77" t="s">
        <v>529</v>
      </c>
      <c r="S3" s="170">
        <v>44866</v>
      </c>
      <c r="T3" s="415"/>
    </row>
    <row r="4" spans="1:20" ht="15.75" customHeight="1" thickBot="1">
      <c r="A4" s="6"/>
      <c r="B4" s="225">
        <v>1</v>
      </c>
      <c r="C4" s="398">
        <v>2</v>
      </c>
      <c r="D4" s="1458"/>
      <c r="E4" s="395"/>
      <c r="F4" s="1899"/>
      <c r="G4" s="188" t="s">
        <v>474</v>
      </c>
      <c r="H4" s="312" t="s">
        <v>475</v>
      </c>
      <c r="I4" s="313"/>
      <c r="J4" s="368">
        <v>12300</v>
      </c>
      <c r="K4" s="173"/>
      <c r="L4" s="113" t="s">
        <v>182</v>
      </c>
      <c r="M4" s="1269">
        <v>4</v>
      </c>
      <c r="N4" s="1087"/>
      <c r="O4" s="1275"/>
      <c r="P4" s="1267"/>
      <c r="Q4" s="1246" t="s">
        <v>86</v>
      </c>
      <c r="R4" s="1621" t="s">
        <v>87</v>
      </c>
      <c r="S4" s="221">
        <v>19850</v>
      </c>
      <c r="T4" s="415"/>
    </row>
    <row r="5" spans="1:20" ht="15.75" customHeight="1">
      <c r="A5" s="6"/>
      <c r="B5" s="226" t="s">
        <v>9</v>
      </c>
      <c r="C5" s="274">
        <v>4</v>
      </c>
      <c r="D5" s="1459"/>
      <c r="E5" s="395"/>
      <c r="F5" s="274"/>
      <c r="G5" s="591" t="s">
        <v>358</v>
      </c>
      <c r="H5" s="592" t="s">
        <v>359</v>
      </c>
      <c r="I5" s="593"/>
      <c r="J5" s="229">
        <v>3990</v>
      </c>
      <c r="K5" s="173"/>
      <c r="L5" s="31" t="s">
        <v>9</v>
      </c>
      <c r="M5" s="1231">
        <v>8</v>
      </c>
      <c r="N5" s="1087"/>
      <c r="O5" s="1275"/>
      <c r="P5" s="1239"/>
      <c r="Q5" s="239" t="s">
        <v>89</v>
      </c>
      <c r="R5" s="238" t="s">
        <v>90</v>
      </c>
      <c r="S5" s="373">
        <v>1800</v>
      </c>
      <c r="T5" s="415"/>
    </row>
    <row r="6" spans="1:20" ht="15.75" customHeight="1">
      <c r="A6" s="6"/>
      <c r="B6" s="399" t="s">
        <v>182</v>
      </c>
      <c r="C6" s="270">
        <v>10</v>
      </c>
      <c r="D6" s="1463"/>
      <c r="E6" s="395"/>
      <c r="F6" s="839"/>
      <c r="G6" s="586" t="s">
        <v>501</v>
      </c>
      <c r="H6" s="401" t="s">
        <v>90</v>
      </c>
      <c r="I6" s="192"/>
      <c r="J6" s="233">
        <v>4581</v>
      </c>
      <c r="K6" s="173"/>
      <c r="L6" s="113" t="s">
        <v>182</v>
      </c>
      <c r="M6" s="1269">
        <v>3</v>
      </c>
      <c r="N6" s="1406"/>
      <c r="O6" s="1275"/>
      <c r="P6" s="1267"/>
      <c r="Q6" s="1246" t="s">
        <v>364</v>
      </c>
      <c r="R6" s="1621" t="s">
        <v>363</v>
      </c>
      <c r="S6" s="430">
        <f>3650*6</f>
        <v>21900</v>
      </c>
      <c r="T6" s="415" t="s">
        <v>469</v>
      </c>
    </row>
    <row r="7" spans="1:20" ht="15.75" customHeight="1">
      <c r="B7" s="399" t="s">
        <v>182</v>
      </c>
      <c r="C7" s="270">
        <v>25</v>
      </c>
      <c r="D7" s="1461"/>
      <c r="E7" s="395"/>
      <c r="F7" s="274"/>
      <c r="G7" s="583" t="s">
        <v>821</v>
      </c>
      <c r="H7" s="573" t="s">
        <v>820</v>
      </c>
      <c r="I7" s="315"/>
      <c r="J7" s="230">
        <v>15325</v>
      </c>
      <c r="K7" s="173"/>
      <c r="L7" s="113" t="s">
        <v>182</v>
      </c>
      <c r="M7" s="1269">
        <v>3</v>
      </c>
      <c r="N7" s="338"/>
      <c r="O7" s="1275"/>
      <c r="P7" s="1239"/>
      <c r="Q7" s="239" t="s">
        <v>318</v>
      </c>
      <c r="R7" s="238" t="s">
        <v>317</v>
      </c>
      <c r="S7" s="430">
        <v>37500</v>
      </c>
      <c r="T7" s="416"/>
    </row>
    <row r="8" spans="1:20" ht="15.75" customHeight="1">
      <c r="B8" s="190" t="s">
        <v>9</v>
      </c>
      <c r="C8" s="1819">
        <v>3</v>
      </c>
      <c r="D8" s="1462"/>
      <c r="E8" s="395"/>
      <c r="F8" s="839"/>
      <c r="G8" s="587" t="s">
        <v>668</v>
      </c>
      <c r="H8" s="401" t="s">
        <v>669</v>
      </c>
      <c r="I8" s="192"/>
      <c r="J8" s="229">
        <v>19500</v>
      </c>
      <c r="K8" s="173"/>
      <c r="L8" s="1685" t="s">
        <v>9</v>
      </c>
      <c r="M8" s="1416">
        <v>8</v>
      </c>
      <c r="N8" s="1087"/>
      <c r="O8" s="1275"/>
      <c r="P8" s="1267"/>
      <c r="Q8" s="1246" t="s">
        <v>504</v>
      </c>
      <c r="R8" s="1621" t="s">
        <v>505</v>
      </c>
      <c r="S8" s="1250">
        <v>85</v>
      </c>
      <c r="T8" s="415"/>
    </row>
    <row r="9" spans="1:20" ht="15.75" customHeight="1">
      <c r="A9" s="6"/>
      <c r="B9" s="113" t="s">
        <v>182</v>
      </c>
      <c r="C9" s="274">
        <v>15</v>
      </c>
      <c r="D9" s="1463"/>
      <c r="E9" s="395"/>
      <c r="F9" s="274"/>
      <c r="G9" s="583" t="s">
        <v>581</v>
      </c>
      <c r="H9" s="314" t="s">
        <v>213</v>
      </c>
      <c r="I9" s="315"/>
      <c r="J9" s="229">
        <v>1386</v>
      </c>
      <c r="K9" s="173"/>
      <c r="L9" s="209">
        <v>1</v>
      </c>
      <c r="M9" s="915">
        <v>15</v>
      </c>
      <c r="N9" s="338"/>
      <c r="O9" s="1275"/>
      <c r="P9" s="1239"/>
      <c r="Q9" s="239" t="s">
        <v>583</v>
      </c>
      <c r="R9" s="238" t="s">
        <v>213</v>
      </c>
      <c r="S9" s="237">
        <v>1450</v>
      </c>
      <c r="T9" s="415"/>
    </row>
    <row r="10" spans="1:20" ht="15.75" customHeight="1">
      <c r="A10" s="6"/>
      <c r="B10" s="399" t="s">
        <v>182</v>
      </c>
      <c r="C10" s="400">
        <v>30</v>
      </c>
      <c r="D10" s="1460"/>
      <c r="E10" s="395"/>
      <c r="F10" s="839"/>
      <c r="G10" s="402" t="s">
        <v>15</v>
      </c>
      <c r="H10" s="401" t="s">
        <v>461</v>
      </c>
      <c r="I10" s="192"/>
      <c r="J10" s="393">
        <v>684</v>
      </c>
      <c r="K10" s="173"/>
      <c r="L10" s="1824">
        <v>3</v>
      </c>
      <c r="M10" s="1831">
        <v>6</v>
      </c>
      <c r="N10" s="1087"/>
      <c r="O10" s="1275"/>
      <c r="P10" s="1267"/>
      <c r="Q10" s="1246" t="s">
        <v>15</v>
      </c>
      <c r="R10" s="1621" t="s">
        <v>92</v>
      </c>
      <c r="S10" s="1250">
        <v>838</v>
      </c>
      <c r="T10" s="415"/>
    </row>
    <row r="11" spans="1:20" ht="15.75" customHeight="1">
      <c r="A11" s="6"/>
      <c r="B11" s="399" t="s">
        <v>182</v>
      </c>
      <c r="C11" s="400">
        <v>30</v>
      </c>
      <c r="D11" s="1464"/>
      <c r="E11" s="395"/>
      <c r="F11" s="274"/>
      <c r="G11" s="594" t="s">
        <v>449</v>
      </c>
      <c r="H11" s="314" t="s">
        <v>456</v>
      </c>
      <c r="I11" s="315"/>
      <c r="J11" s="228">
        <v>10300</v>
      </c>
      <c r="K11" s="173"/>
      <c r="L11" s="209" t="s">
        <v>9</v>
      </c>
      <c r="M11" s="915">
        <v>1</v>
      </c>
      <c r="N11" s="1087"/>
      <c r="O11" s="1275"/>
      <c r="P11" s="1239"/>
      <c r="Q11" s="239" t="s">
        <v>15</v>
      </c>
      <c r="R11" s="238" t="s">
        <v>913</v>
      </c>
      <c r="S11" s="243">
        <v>9250</v>
      </c>
      <c r="T11" s="415"/>
    </row>
    <row r="12" spans="1:20" ht="15.75">
      <c r="A12" s="6"/>
      <c r="B12" s="2324" t="s">
        <v>923</v>
      </c>
      <c r="C12" s="2325"/>
      <c r="D12" s="1465"/>
      <c r="E12" s="395"/>
      <c r="F12" s="839"/>
      <c r="G12" s="588" t="s">
        <v>457</v>
      </c>
      <c r="H12" s="401" t="s">
        <v>614</v>
      </c>
      <c r="I12" s="192"/>
      <c r="J12" s="393">
        <v>2690</v>
      </c>
      <c r="K12" s="173"/>
      <c r="L12" s="1685" t="s">
        <v>9</v>
      </c>
      <c r="M12" s="1416">
        <v>10</v>
      </c>
      <c r="N12" s="1087"/>
      <c r="O12" s="1275"/>
      <c r="P12" s="1267"/>
      <c r="Q12" s="1246" t="s">
        <v>1105</v>
      </c>
      <c r="R12" s="1619" t="s">
        <v>1294</v>
      </c>
      <c r="S12" s="1620">
        <v>1800</v>
      </c>
      <c r="T12" s="415"/>
    </row>
    <row r="13" spans="1:20" ht="15.75" customHeight="1">
      <c r="B13" s="125">
        <v>3</v>
      </c>
      <c r="C13" s="126">
        <v>6</v>
      </c>
      <c r="D13" s="1464"/>
      <c r="E13" s="395"/>
      <c r="F13" s="274"/>
      <c r="G13" s="594" t="s">
        <v>15</v>
      </c>
      <c r="H13" s="314" t="s">
        <v>931</v>
      </c>
      <c r="I13" s="315"/>
      <c r="J13" s="228">
        <v>629</v>
      </c>
      <c r="K13" s="173"/>
      <c r="L13" s="2379" t="s">
        <v>923</v>
      </c>
      <c r="M13" s="2380"/>
      <c r="N13" s="338"/>
      <c r="O13" s="1275"/>
      <c r="P13" s="1239"/>
      <c r="Q13" s="239" t="s">
        <v>855</v>
      </c>
      <c r="R13" s="1126" t="s">
        <v>1104</v>
      </c>
      <c r="S13" s="237">
        <f>1350*40</f>
        <v>54000</v>
      </c>
      <c r="T13" s="415" t="s">
        <v>856</v>
      </c>
    </row>
    <row r="14" spans="1:20" ht="15.75" customHeight="1">
      <c r="A14" s="40"/>
      <c r="B14" s="399" t="s">
        <v>182</v>
      </c>
      <c r="C14" s="408">
        <v>24</v>
      </c>
      <c r="D14" s="1466"/>
      <c r="E14" s="395"/>
      <c r="F14" s="839"/>
      <c r="G14" s="588" t="s">
        <v>11</v>
      </c>
      <c r="H14" s="401" t="s">
        <v>1394</v>
      </c>
      <c r="I14" s="192"/>
      <c r="J14" s="393">
        <v>1050.8333333333333</v>
      </c>
      <c r="K14" s="173"/>
      <c r="L14" s="1685" t="s">
        <v>9</v>
      </c>
      <c r="M14" s="1416">
        <v>30</v>
      </c>
      <c r="N14" s="1087"/>
      <c r="O14" s="1275"/>
      <c r="P14" s="1238"/>
      <c r="Q14" s="234" t="s">
        <v>15</v>
      </c>
      <c r="R14" s="290" t="s">
        <v>1293</v>
      </c>
      <c r="S14" s="236">
        <f>483*30</f>
        <v>14490</v>
      </c>
      <c r="T14" s="415"/>
    </row>
    <row r="15" spans="1:20" ht="15.75">
      <c r="B15" s="399" t="s">
        <v>182</v>
      </c>
      <c r="C15" s="409">
        <v>60</v>
      </c>
      <c r="D15" s="1467"/>
      <c r="E15" s="395"/>
      <c r="F15" s="274"/>
      <c r="G15" s="882" t="s">
        <v>11</v>
      </c>
      <c r="H15" s="314" t="s">
        <v>904</v>
      </c>
      <c r="I15" s="315"/>
      <c r="J15" s="229">
        <v>2199</v>
      </c>
      <c r="K15" s="173"/>
      <c r="L15" s="210" t="s">
        <v>9</v>
      </c>
      <c r="M15" s="1270">
        <v>15</v>
      </c>
      <c r="N15" s="1088"/>
      <c r="O15" s="1275"/>
      <c r="P15" s="1279"/>
      <c r="Q15" s="241" t="s">
        <v>95</v>
      </c>
      <c r="R15" s="1663" t="s">
        <v>100</v>
      </c>
      <c r="S15" s="243">
        <v>3950</v>
      </c>
      <c r="T15" s="415"/>
    </row>
    <row r="16" spans="1:20" ht="15.75">
      <c r="A16" s="6"/>
      <c r="B16" s="31" t="s">
        <v>9</v>
      </c>
      <c r="C16" s="30">
        <v>2</v>
      </c>
      <c r="D16" s="1466"/>
      <c r="E16" s="395"/>
      <c r="F16" s="839"/>
      <c r="G16" s="588" t="s">
        <v>11</v>
      </c>
      <c r="H16" s="316" t="s">
        <v>402</v>
      </c>
      <c r="I16" s="317"/>
      <c r="J16" s="229">
        <v>8360</v>
      </c>
      <c r="K16" s="173"/>
      <c r="L16" s="226" t="s">
        <v>9</v>
      </c>
      <c r="M16" s="1416">
        <v>60</v>
      </c>
      <c r="N16" s="1087"/>
      <c r="O16" s="1275"/>
      <c r="P16" s="1238"/>
      <c r="Q16" s="289" t="s">
        <v>11</v>
      </c>
      <c r="R16" s="232" t="s">
        <v>470</v>
      </c>
      <c r="S16" s="222">
        <v>2250</v>
      </c>
      <c r="T16" s="415"/>
    </row>
    <row r="17" spans="1:20" ht="15.75">
      <c r="A17" s="6"/>
      <c r="B17" s="399" t="s">
        <v>182</v>
      </c>
      <c r="C17" s="409">
        <v>20</v>
      </c>
      <c r="D17" s="1467"/>
      <c r="E17" s="395"/>
      <c r="F17" s="274"/>
      <c r="G17" s="212" t="s">
        <v>399</v>
      </c>
      <c r="H17" s="314" t="s">
        <v>303</v>
      </c>
      <c r="I17" s="315"/>
      <c r="J17" s="228">
        <v>2590</v>
      </c>
      <c r="K17" s="182"/>
      <c r="L17" s="113" t="s">
        <v>182</v>
      </c>
      <c r="M17" s="1270">
        <v>2</v>
      </c>
      <c r="N17" s="337"/>
      <c r="O17" s="1275"/>
      <c r="P17" s="1279"/>
      <c r="Q17" s="241" t="s">
        <v>11</v>
      </c>
      <c r="R17" s="242" t="s">
        <v>102</v>
      </c>
      <c r="S17" s="223">
        <v>12500</v>
      </c>
      <c r="T17" s="415"/>
    </row>
    <row r="18" spans="1:20" ht="15.75" customHeight="1">
      <c r="A18" s="6"/>
      <c r="B18" s="399" t="s">
        <v>182</v>
      </c>
      <c r="C18" s="400">
        <v>10</v>
      </c>
      <c r="D18" s="1459"/>
      <c r="E18" s="395"/>
      <c r="F18" s="839"/>
      <c r="G18" s="403" t="s">
        <v>751</v>
      </c>
      <c r="H18" s="401" t="s">
        <v>701</v>
      </c>
      <c r="I18" s="192"/>
      <c r="J18" s="229">
        <v>18250</v>
      </c>
      <c r="K18" s="182"/>
      <c r="L18" s="226" t="s">
        <v>9</v>
      </c>
      <c r="M18" s="1416">
        <v>30</v>
      </c>
      <c r="N18" s="1087"/>
      <c r="O18" s="1275"/>
      <c r="P18" s="1238"/>
      <c r="Q18" s="234" t="s">
        <v>59</v>
      </c>
      <c r="R18" s="232" t="s">
        <v>472</v>
      </c>
      <c r="S18" s="221">
        <v>2650</v>
      </c>
      <c r="T18" s="415"/>
    </row>
    <row r="19" spans="1:20" ht="15.75" customHeight="1">
      <c r="A19" s="6"/>
      <c r="B19" s="1413" t="s">
        <v>9</v>
      </c>
      <c r="C19" s="1820">
        <v>3</v>
      </c>
      <c r="D19" s="1463"/>
      <c r="E19" s="395"/>
      <c r="F19" s="274"/>
      <c r="G19" s="585" t="s">
        <v>635</v>
      </c>
      <c r="H19" s="314" t="s">
        <v>636</v>
      </c>
      <c r="I19" s="315"/>
      <c r="J19" s="1047">
        <v>15500</v>
      </c>
      <c r="K19" s="175">
        <v>7839.7199999999993</v>
      </c>
      <c r="L19" s="113" t="s">
        <v>182</v>
      </c>
      <c r="M19" s="1270">
        <v>5</v>
      </c>
      <c r="N19" s="337"/>
      <c r="O19" s="1275"/>
      <c r="P19" s="1279"/>
      <c r="Q19" s="241" t="s">
        <v>11</v>
      </c>
      <c r="R19" s="242" t="s">
        <v>656</v>
      </c>
      <c r="S19" s="243">
        <v>2650</v>
      </c>
      <c r="T19" s="415"/>
    </row>
    <row r="20" spans="1:20" ht="15.75" customHeight="1">
      <c r="A20" s="6"/>
      <c r="B20" s="55" t="s">
        <v>9</v>
      </c>
      <c r="C20" s="37">
        <v>12</v>
      </c>
      <c r="D20" s="1459"/>
      <c r="E20" s="396"/>
      <c r="F20" s="839"/>
      <c r="G20" s="589" t="s">
        <v>304</v>
      </c>
      <c r="H20" s="401" t="s">
        <v>752</v>
      </c>
      <c r="I20" s="192"/>
      <c r="J20" s="229">
        <v>7590</v>
      </c>
      <c r="K20" s="174"/>
      <c r="L20" s="226" t="s">
        <v>9</v>
      </c>
      <c r="M20" s="916">
        <v>2</v>
      </c>
      <c r="N20" s="1087"/>
      <c r="O20" s="1275"/>
      <c r="P20" s="1238"/>
      <c r="Q20" s="234" t="s">
        <v>413</v>
      </c>
      <c r="R20" s="290" t="s">
        <v>311</v>
      </c>
      <c r="S20" s="236">
        <v>15800</v>
      </c>
      <c r="T20" s="416"/>
    </row>
    <row r="21" spans="1:20" ht="15.75" customHeight="1">
      <c r="A21" s="6"/>
      <c r="B21" s="399" t="s">
        <v>182</v>
      </c>
      <c r="C21" s="274">
        <v>8</v>
      </c>
      <c r="D21" s="1468"/>
      <c r="E21" s="396"/>
      <c r="F21" s="274"/>
      <c r="G21" s="595" t="s">
        <v>826</v>
      </c>
      <c r="H21" s="596" t="s">
        <v>827</v>
      </c>
      <c r="I21" s="315"/>
      <c r="J21" s="229">
        <v>3890</v>
      </c>
      <c r="K21" s="189">
        <f>81990/60</f>
        <v>1366.5</v>
      </c>
      <c r="L21" s="2379" t="s">
        <v>923</v>
      </c>
      <c r="M21" s="2380"/>
      <c r="N21" s="338"/>
      <c r="O21" s="1275"/>
      <c r="P21" s="1239"/>
      <c r="Q21" s="239" t="s">
        <v>748</v>
      </c>
      <c r="R21" s="232" t="s">
        <v>747</v>
      </c>
      <c r="S21" s="237">
        <v>54000</v>
      </c>
      <c r="T21" s="415">
        <f>S21/24</f>
        <v>2250</v>
      </c>
    </row>
    <row r="22" spans="1:20" ht="15.75" customHeight="1">
      <c r="A22" s="6"/>
      <c r="B22" s="31" t="s">
        <v>9</v>
      </c>
      <c r="C22" s="30">
        <v>4</v>
      </c>
      <c r="D22" s="1462"/>
      <c r="E22" s="395"/>
      <c r="F22" s="839"/>
      <c r="G22" s="9" t="s">
        <v>316</v>
      </c>
      <c r="H22" s="401" t="s">
        <v>455</v>
      </c>
      <c r="I22" s="192"/>
      <c r="J22" s="229">
        <v>1990</v>
      </c>
      <c r="K22" s="175"/>
      <c r="L22" s="113" t="s">
        <v>182</v>
      </c>
      <c r="M22" s="1271">
        <v>12</v>
      </c>
      <c r="N22" s="1088"/>
      <c r="O22" s="1275"/>
      <c r="P22" s="1280"/>
      <c r="Q22" s="234" t="s">
        <v>105</v>
      </c>
      <c r="R22" s="235" t="s">
        <v>1095</v>
      </c>
      <c r="S22" s="221">
        <v>8650</v>
      </c>
      <c r="T22" s="415"/>
    </row>
    <row r="23" spans="1:20" ht="15.75" customHeight="1">
      <c r="A23" s="6"/>
      <c r="B23" s="399" t="s">
        <v>182</v>
      </c>
      <c r="C23" s="409">
        <v>1</v>
      </c>
      <c r="D23" s="1467"/>
      <c r="E23" s="395"/>
      <c r="F23" s="274"/>
      <c r="G23" s="833" t="s">
        <v>891</v>
      </c>
      <c r="H23" s="314" t="s">
        <v>892</v>
      </c>
      <c r="I23" s="315"/>
      <c r="J23" s="228">
        <f>92000/15</f>
        <v>6133.333333333333</v>
      </c>
      <c r="K23" s="175"/>
      <c r="L23" s="209" t="s">
        <v>9</v>
      </c>
      <c r="M23" s="1272">
        <v>3</v>
      </c>
      <c r="N23" s="1088"/>
      <c r="O23" s="1275"/>
      <c r="P23" s="1279"/>
      <c r="Q23" s="239" t="s">
        <v>910</v>
      </c>
      <c r="R23" s="238" t="s">
        <v>909</v>
      </c>
      <c r="S23" s="237">
        <v>8250</v>
      </c>
      <c r="T23" s="415"/>
    </row>
    <row r="24" spans="1:20" ht="15.75" customHeight="1">
      <c r="A24" s="6"/>
      <c r="B24" s="190" t="s">
        <v>9</v>
      </c>
      <c r="C24" s="839">
        <v>2</v>
      </c>
      <c r="D24" s="1459"/>
      <c r="E24" s="395"/>
      <c r="F24" s="839"/>
      <c r="G24" s="403" t="s">
        <v>109</v>
      </c>
      <c r="H24" s="831" t="s">
        <v>463</v>
      </c>
      <c r="I24" s="832"/>
      <c r="J24" s="393">
        <v>7590</v>
      </c>
      <c r="K24" s="175">
        <f>J28/3</f>
        <v>2330</v>
      </c>
      <c r="L24" s="1685" t="s">
        <v>9</v>
      </c>
      <c r="M24" s="1273">
        <v>7</v>
      </c>
      <c r="N24" s="1087"/>
      <c r="O24" s="1275"/>
      <c r="P24" s="1280"/>
      <c r="Q24" s="234" t="s">
        <v>105</v>
      </c>
      <c r="R24" s="232" t="s">
        <v>670</v>
      </c>
      <c r="S24" s="236">
        <v>8450</v>
      </c>
      <c r="T24" s="416"/>
    </row>
    <row r="25" spans="1:20" ht="15.75" customHeight="1">
      <c r="A25" s="6"/>
      <c r="B25" s="399" t="s">
        <v>182</v>
      </c>
      <c r="C25" s="126">
        <v>60</v>
      </c>
      <c r="D25" s="1463"/>
      <c r="E25" s="395"/>
      <c r="F25" s="274"/>
      <c r="G25" s="322" t="s">
        <v>462</v>
      </c>
      <c r="H25" s="314" t="s">
        <v>407</v>
      </c>
      <c r="I25" s="315"/>
      <c r="J25" s="228">
        <v>1442</v>
      </c>
      <c r="K25" s="173"/>
      <c r="L25" s="113" t="s">
        <v>182</v>
      </c>
      <c r="M25" s="1272">
        <v>2</v>
      </c>
      <c r="N25" s="338"/>
      <c r="O25" s="1275"/>
      <c r="P25" s="1239"/>
      <c r="Q25" s="239" t="s">
        <v>247</v>
      </c>
      <c r="R25" s="232" t="s">
        <v>740</v>
      </c>
      <c r="S25" s="222">
        <v>1590</v>
      </c>
      <c r="T25" s="415"/>
    </row>
    <row r="26" spans="1:20" ht="15.75" customHeight="1">
      <c r="A26" s="6"/>
      <c r="B26" s="55" t="s">
        <v>9</v>
      </c>
      <c r="C26" s="37">
        <v>3</v>
      </c>
      <c r="D26" s="1459"/>
      <c r="E26" s="395"/>
      <c r="F26" s="839"/>
      <c r="G26" s="403" t="s">
        <v>452</v>
      </c>
      <c r="H26" s="316" t="s">
        <v>454</v>
      </c>
      <c r="I26" s="317"/>
      <c r="J26" s="229">
        <v>45190</v>
      </c>
      <c r="K26" s="173"/>
      <c r="L26" s="1824" t="s">
        <v>9</v>
      </c>
      <c r="M26" s="1831">
        <v>3000</v>
      </c>
      <c r="N26" s="1087"/>
      <c r="O26" s="1275"/>
      <c r="P26" s="1267"/>
      <c r="Q26" s="234" t="s">
        <v>15</v>
      </c>
      <c r="R26" s="235" t="s">
        <v>1175</v>
      </c>
      <c r="S26" s="236">
        <v>24</v>
      </c>
      <c r="T26" s="415"/>
    </row>
    <row r="27" spans="1:20" ht="15.75" customHeight="1">
      <c r="A27" s="6"/>
      <c r="B27" s="125" t="s">
        <v>9</v>
      </c>
      <c r="C27" s="126">
        <v>2</v>
      </c>
      <c r="D27" s="1462"/>
      <c r="E27" s="395"/>
      <c r="F27" s="274"/>
      <c r="G27" s="212" t="s">
        <v>401</v>
      </c>
      <c r="H27" s="314" t="s">
        <v>367</v>
      </c>
      <c r="I27" s="315"/>
      <c r="J27" s="228">
        <v>3190</v>
      </c>
      <c r="K27" s="173"/>
      <c r="L27" s="113" t="s">
        <v>182</v>
      </c>
      <c r="M27" s="1269">
        <v>4</v>
      </c>
      <c r="N27" s="338"/>
      <c r="O27" s="1275"/>
      <c r="P27" s="1239"/>
      <c r="Q27" s="239" t="s">
        <v>247</v>
      </c>
      <c r="R27" s="238" t="s">
        <v>445</v>
      </c>
      <c r="S27" s="240">
        <v>2250</v>
      </c>
      <c r="T27" s="415"/>
    </row>
    <row r="28" spans="1:20" ht="15.75" customHeight="1">
      <c r="A28" s="6"/>
      <c r="B28" s="31" t="s">
        <v>9</v>
      </c>
      <c r="C28" s="30">
        <v>12</v>
      </c>
      <c r="D28" s="1462"/>
      <c r="E28" s="395"/>
      <c r="F28" s="839"/>
      <c r="G28" s="12" t="s">
        <v>383</v>
      </c>
      <c r="H28" s="320" t="s">
        <v>494</v>
      </c>
      <c r="I28" s="321"/>
      <c r="J28" s="231">
        <v>6990</v>
      </c>
      <c r="K28" s="173"/>
      <c r="L28" s="2381" t="s">
        <v>923</v>
      </c>
      <c r="M28" s="2382"/>
      <c r="N28" s="1087"/>
      <c r="O28" s="1275"/>
      <c r="P28" s="1267"/>
      <c r="Q28" s="234" t="s">
        <v>11</v>
      </c>
      <c r="R28" s="235" t="s">
        <v>414</v>
      </c>
      <c r="S28" s="236">
        <v>3150</v>
      </c>
      <c r="T28" s="415"/>
    </row>
    <row r="29" spans="1:20" ht="15.75" customHeight="1">
      <c r="A29" s="6"/>
      <c r="B29" s="226" t="s">
        <v>9</v>
      </c>
      <c r="C29" s="274">
        <v>12</v>
      </c>
      <c r="D29" s="1459"/>
      <c r="E29" s="395"/>
      <c r="F29" s="274"/>
      <c r="G29" s="280" t="s">
        <v>383</v>
      </c>
      <c r="H29" s="318" t="s">
        <v>493</v>
      </c>
      <c r="I29" s="319"/>
      <c r="J29" s="231">
        <v>6690</v>
      </c>
      <c r="K29" s="173"/>
      <c r="L29" s="113" t="s">
        <v>182</v>
      </c>
      <c r="M29" s="1269">
        <v>4</v>
      </c>
      <c r="N29" s="338"/>
      <c r="O29" s="1276"/>
      <c r="P29" s="1239"/>
      <c r="Q29" s="239" t="s">
        <v>109</v>
      </c>
      <c r="R29" s="238" t="s">
        <v>448</v>
      </c>
      <c r="S29" s="221">
        <v>9350</v>
      </c>
      <c r="T29" s="415"/>
    </row>
    <row r="30" spans="1:20" ht="15.75" customHeight="1">
      <c r="A30" s="6"/>
      <c r="B30" s="31" t="s">
        <v>9</v>
      </c>
      <c r="C30" s="30">
        <v>6</v>
      </c>
      <c r="D30" s="1463"/>
      <c r="E30" s="395"/>
      <c r="F30" s="839"/>
      <c r="G30" s="402" t="s">
        <v>76</v>
      </c>
      <c r="H30" s="316" t="s">
        <v>127</v>
      </c>
      <c r="I30" s="317"/>
      <c r="J30" s="229">
        <v>3418</v>
      </c>
      <c r="L30" s="1824" t="s">
        <v>9</v>
      </c>
      <c r="M30" s="1831">
        <v>2</v>
      </c>
      <c r="N30" s="1087"/>
      <c r="O30" s="1276"/>
      <c r="P30" s="1267"/>
      <c r="Q30" s="234" t="s">
        <v>415</v>
      </c>
      <c r="R30" s="235" t="s">
        <v>110</v>
      </c>
      <c r="S30" s="236">
        <v>5750</v>
      </c>
      <c r="T30" s="415"/>
    </row>
    <row r="31" spans="1:20" ht="15.75" customHeight="1">
      <c r="A31" s="6"/>
      <c r="B31" s="226" t="s">
        <v>9</v>
      </c>
      <c r="C31" s="274">
        <v>2</v>
      </c>
      <c r="D31" s="1459"/>
      <c r="E31" s="395"/>
      <c r="F31" s="274"/>
      <c r="G31" s="280" t="s">
        <v>195</v>
      </c>
      <c r="H31" s="314" t="s">
        <v>314</v>
      </c>
      <c r="I31" s="315"/>
      <c r="J31" s="233">
        <v>32111</v>
      </c>
      <c r="K31" s="40"/>
      <c r="L31" s="209">
        <v>1</v>
      </c>
      <c r="M31" s="915">
        <v>2</v>
      </c>
      <c r="N31" s="1087"/>
      <c r="O31" s="1276"/>
      <c r="P31" s="1239"/>
      <c r="Q31" s="239" t="s">
        <v>111</v>
      </c>
      <c r="R31" s="238" t="s">
        <v>112</v>
      </c>
      <c r="S31" s="237">
        <v>9277</v>
      </c>
      <c r="T31" s="415"/>
    </row>
    <row r="32" spans="1:20" ht="15.75" customHeight="1">
      <c r="A32" s="6"/>
      <c r="B32" s="31" t="s">
        <v>9</v>
      </c>
      <c r="C32" s="30">
        <v>2</v>
      </c>
      <c r="D32" s="1466"/>
      <c r="E32" s="395"/>
      <c r="F32" s="839"/>
      <c r="G32" s="588" t="s">
        <v>195</v>
      </c>
      <c r="H32" s="316" t="s">
        <v>315</v>
      </c>
      <c r="I32" s="317"/>
      <c r="J32" s="233">
        <v>24506</v>
      </c>
      <c r="K32" s="40"/>
      <c r="L32" s="1824" t="s">
        <v>9</v>
      </c>
      <c r="M32" s="1831">
        <v>2</v>
      </c>
      <c r="N32" s="1087"/>
      <c r="O32" s="1276"/>
      <c r="P32" s="1267"/>
      <c r="Q32" s="234" t="s">
        <v>11</v>
      </c>
      <c r="R32" s="235" t="s">
        <v>506</v>
      </c>
      <c r="S32" s="236">
        <v>4181</v>
      </c>
      <c r="T32" s="417"/>
    </row>
    <row r="33" spans="1:20" ht="15.75" customHeight="1">
      <c r="A33" s="6"/>
      <c r="B33" s="399" t="s">
        <v>182</v>
      </c>
      <c r="C33" s="410">
        <v>8</v>
      </c>
      <c r="D33" s="1467"/>
      <c r="E33" s="395"/>
      <c r="F33" s="274"/>
      <c r="G33" s="212" t="s">
        <v>149</v>
      </c>
      <c r="H33" s="314" t="s">
        <v>453</v>
      </c>
      <c r="I33" s="315"/>
      <c r="J33" s="228">
        <v>3248</v>
      </c>
      <c r="K33" s="40"/>
      <c r="L33" s="209" t="s">
        <v>9</v>
      </c>
      <c r="M33" s="915">
        <v>2</v>
      </c>
      <c r="N33" s="1087"/>
      <c r="O33" s="1276"/>
      <c r="P33" s="1239"/>
      <c r="Q33" s="239" t="s">
        <v>11</v>
      </c>
      <c r="R33" s="238" t="s">
        <v>115</v>
      </c>
      <c r="S33" s="886">
        <v>4411</v>
      </c>
      <c r="T33" s="417"/>
    </row>
    <row r="34" spans="1:20" ht="15.75" customHeight="1" thickBot="1">
      <c r="A34" s="6"/>
      <c r="B34" s="405" t="s">
        <v>182</v>
      </c>
      <c r="C34" s="411">
        <v>1</v>
      </c>
      <c r="D34" s="1469"/>
      <c r="E34" s="397"/>
      <c r="F34" s="1225"/>
      <c r="G34" s="828" t="s">
        <v>11</v>
      </c>
      <c r="H34" s="829" t="s">
        <v>502</v>
      </c>
      <c r="I34" s="830"/>
      <c r="J34" s="392">
        <v>6430</v>
      </c>
      <c r="K34" s="40"/>
      <c r="L34" s="1824" t="s">
        <v>9</v>
      </c>
      <c r="M34" s="1831">
        <v>6</v>
      </c>
      <c r="N34" s="1087"/>
      <c r="O34" s="1276"/>
      <c r="P34" s="1267"/>
      <c r="Q34" s="234" t="s">
        <v>116</v>
      </c>
      <c r="R34" s="292" t="s">
        <v>117</v>
      </c>
      <c r="S34" s="887">
        <v>17900</v>
      </c>
    </row>
    <row r="35" spans="1:20" ht="15.75" customHeight="1" thickBot="1">
      <c r="A35" s="6"/>
      <c r="B35" s="1135"/>
      <c r="C35" s="1133"/>
      <c r="D35" s="1470"/>
      <c r="E35" s="1134"/>
      <c r="F35" s="1133"/>
      <c r="G35" s="54"/>
      <c r="H35" s="54"/>
      <c r="I35" s="54"/>
      <c r="J35" s="180"/>
      <c r="K35" s="6"/>
      <c r="L35" s="113" t="s">
        <v>182</v>
      </c>
      <c r="M35" s="1269">
        <v>3</v>
      </c>
      <c r="N35" s="1087"/>
      <c r="O35" s="1276"/>
      <c r="P35" s="1239"/>
      <c r="Q35" s="239" t="s">
        <v>118</v>
      </c>
      <c r="R35" s="238" t="s">
        <v>119</v>
      </c>
      <c r="S35" s="237">
        <v>46500</v>
      </c>
    </row>
    <row r="36" spans="1:20" ht="15.75" customHeight="1">
      <c r="A36" s="75"/>
      <c r="B36" s="1046"/>
      <c r="C36" s="1128"/>
      <c r="D36" s="1471"/>
      <c r="E36" s="1136"/>
      <c r="F36" s="1128"/>
      <c r="G36" s="1600" t="s">
        <v>1109</v>
      </c>
      <c r="H36" s="215" t="s">
        <v>1110</v>
      </c>
      <c r="I36" s="96"/>
      <c r="J36" s="1145" t="s">
        <v>1112</v>
      </c>
      <c r="K36" s="75"/>
      <c r="L36" s="114" t="s">
        <v>182</v>
      </c>
      <c r="M36" s="1271">
        <v>2</v>
      </c>
      <c r="N36" s="1087"/>
      <c r="O36" s="1276"/>
      <c r="P36" s="1280"/>
      <c r="Q36" s="234" t="s">
        <v>121</v>
      </c>
      <c r="R36" s="235" t="s">
        <v>122</v>
      </c>
      <c r="S36" s="236">
        <v>3450</v>
      </c>
    </row>
    <row r="37" spans="1:20" ht="15.75" customHeight="1">
      <c r="A37" s="75"/>
      <c r="B37" s="226"/>
      <c r="C37" s="274"/>
      <c r="D37" s="1472"/>
      <c r="E37" s="1137"/>
      <c r="F37" s="274"/>
      <c r="G37" s="1597" t="s">
        <v>1257</v>
      </c>
      <c r="H37" s="1598" t="s">
        <v>1258</v>
      </c>
      <c r="I37" s="1599"/>
      <c r="J37" s="1146" t="s">
        <v>1112</v>
      </c>
      <c r="K37" s="75"/>
      <c r="L37" s="114" t="s">
        <v>182</v>
      </c>
      <c r="M37" s="1271">
        <v>6</v>
      </c>
      <c r="N37" s="338"/>
      <c r="O37" s="1276"/>
      <c r="P37" s="1279"/>
      <c r="Q37" s="239" t="s">
        <v>126</v>
      </c>
      <c r="R37" s="238" t="s">
        <v>127</v>
      </c>
      <c r="S37" s="221">
        <v>6750</v>
      </c>
    </row>
    <row r="38" spans="1:20" ht="15.75" customHeight="1">
      <c r="A38" s="40"/>
      <c r="B38" s="1227"/>
      <c r="C38" s="1226"/>
      <c r="D38" s="1472"/>
      <c r="E38" s="1137"/>
      <c r="F38" s="1226"/>
      <c r="G38" s="1592" t="s">
        <v>1257</v>
      </c>
      <c r="H38" s="1593" t="s">
        <v>1259</v>
      </c>
      <c r="I38" s="317"/>
      <c r="J38" s="1146" t="s">
        <v>1112</v>
      </c>
      <c r="K38" s="75"/>
      <c r="L38" s="1249">
        <v>1</v>
      </c>
      <c r="M38" s="1273">
        <v>4</v>
      </c>
      <c r="N38" s="1087"/>
      <c r="O38" s="1276"/>
      <c r="P38" s="1280"/>
      <c r="Q38" s="1246" t="s">
        <v>11</v>
      </c>
      <c r="R38" s="232" t="s">
        <v>1178</v>
      </c>
      <c r="S38" s="1250">
        <v>7424</v>
      </c>
    </row>
    <row r="39" spans="1:20" ht="16.5" thickBot="1">
      <c r="A39" s="75"/>
      <c r="B39" s="686"/>
      <c r="C39" s="687"/>
      <c r="D39" s="1473"/>
      <c r="E39" s="1138"/>
      <c r="F39" s="687"/>
      <c r="G39" s="1594" t="s">
        <v>1106</v>
      </c>
      <c r="H39" s="1595" t="s">
        <v>1260</v>
      </c>
      <c r="I39" s="1596"/>
      <c r="J39" s="1147" t="s">
        <v>1112</v>
      </c>
      <c r="K39" s="75"/>
      <c r="L39" s="482">
        <v>1</v>
      </c>
      <c r="M39" s="1274">
        <v>2</v>
      </c>
      <c r="N39" s="1089"/>
      <c r="O39" s="1277"/>
      <c r="P39" s="1281"/>
      <c r="Q39" s="1247" t="s">
        <v>11</v>
      </c>
      <c r="R39" s="390" t="s">
        <v>502</v>
      </c>
      <c r="S39" s="1248">
        <v>6750</v>
      </c>
    </row>
    <row r="40" spans="1:20" ht="15.75" customHeight="1" thickBot="1">
      <c r="A40" s="75"/>
      <c r="K40" s="75"/>
    </row>
    <row r="41" spans="1:20" ht="15.75">
      <c r="A41" s="75"/>
      <c r="B41" s="1912" t="s">
        <v>640</v>
      </c>
      <c r="C41" s="1916"/>
      <c r="D41" s="2329" t="s">
        <v>1174</v>
      </c>
      <c r="E41" s="54"/>
      <c r="F41" s="1938" t="s">
        <v>196</v>
      </c>
      <c r="G41" s="1968"/>
      <c r="H41" s="2313" t="s">
        <v>340</v>
      </c>
      <c r="I41" s="2314"/>
      <c r="J41" s="436" t="s">
        <v>723</v>
      </c>
      <c r="K41" s="6"/>
      <c r="L41" s="1912" t="s">
        <v>640</v>
      </c>
      <c r="M41" s="1916"/>
      <c r="N41" s="2329" t="s">
        <v>1174</v>
      </c>
      <c r="O41" s="54"/>
      <c r="P41" s="2334" t="s">
        <v>810</v>
      </c>
      <c r="Q41" s="2335"/>
      <c r="R41" s="94" t="s">
        <v>813</v>
      </c>
      <c r="S41" s="499" t="s">
        <v>3</v>
      </c>
    </row>
    <row r="42" spans="1:20" ht="15.75">
      <c r="A42" s="6"/>
      <c r="B42" s="28" t="s">
        <v>5</v>
      </c>
      <c r="C42" s="287" t="s">
        <v>6</v>
      </c>
      <c r="D42" s="2330"/>
      <c r="E42" s="40"/>
      <c r="F42" s="1966"/>
      <c r="G42" s="2319"/>
      <c r="H42" s="2320" t="s">
        <v>426</v>
      </c>
      <c r="I42" s="2321"/>
      <c r="J42" s="369"/>
      <c r="K42" s="6"/>
      <c r="L42" s="28" t="s">
        <v>5</v>
      </c>
      <c r="M42" s="287" t="s">
        <v>6</v>
      </c>
      <c r="N42" s="2330"/>
      <c r="O42" s="40"/>
      <c r="P42" s="1013" t="s">
        <v>811</v>
      </c>
      <c r="Q42" s="193"/>
      <c r="R42" s="286" t="s">
        <v>812</v>
      </c>
      <c r="S42" s="483"/>
    </row>
    <row r="43" spans="1:20" ht="15.75">
      <c r="A43" s="6"/>
      <c r="B43" s="407" t="s">
        <v>182</v>
      </c>
      <c r="C43" s="1821">
        <v>1</v>
      </c>
      <c r="D43" s="1474"/>
      <c r="E43" s="67"/>
      <c r="F43" s="1238"/>
      <c r="G43" s="933" t="s">
        <v>160</v>
      </c>
      <c r="H43" s="2344" t="s">
        <v>933</v>
      </c>
      <c r="I43" s="2345"/>
      <c r="J43" s="930">
        <v>7</v>
      </c>
      <c r="K43" s="6"/>
      <c r="L43" s="570" t="s">
        <v>182</v>
      </c>
      <c r="M43" s="1832">
        <v>5</v>
      </c>
      <c r="N43" s="345"/>
      <c r="O43" s="40"/>
      <c r="P43" s="1238"/>
      <c r="Q43" s="292" t="s">
        <v>929</v>
      </c>
      <c r="R43" s="1017" t="s">
        <v>930</v>
      </c>
      <c r="S43" s="462">
        <v>8000</v>
      </c>
    </row>
    <row r="44" spans="1:20" ht="15.75">
      <c r="A44" s="6"/>
      <c r="B44" s="2389" t="s">
        <v>923</v>
      </c>
      <c r="C44" s="2390"/>
      <c r="D44" s="1475"/>
      <c r="E44" s="1237"/>
      <c r="F44" s="1239"/>
      <c r="G44" s="934" t="s">
        <v>160</v>
      </c>
      <c r="H44" s="2344" t="s">
        <v>935</v>
      </c>
      <c r="I44" s="2345"/>
      <c r="J44" s="930">
        <v>8</v>
      </c>
      <c r="K44" s="6"/>
      <c r="L44" s="570" t="s">
        <v>182</v>
      </c>
      <c r="M44" s="1833">
        <v>5</v>
      </c>
      <c r="N44" s="1090"/>
      <c r="O44" s="40"/>
      <c r="P44" s="1239"/>
      <c r="Q44" s="571" t="s">
        <v>45</v>
      </c>
      <c r="R44" s="232" t="s">
        <v>1020</v>
      </c>
      <c r="S44" s="456">
        <v>61000</v>
      </c>
      <c r="T44" s="414">
        <v>5083</v>
      </c>
    </row>
    <row r="45" spans="1:20" ht="15.75" customHeight="1">
      <c r="A45" s="6"/>
      <c r="B45" s="407" t="s">
        <v>182</v>
      </c>
      <c r="C45" s="1821">
        <v>1</v>
      </c>
      <c r="D45" s="1476"/>
      <c r="E45" s="1237"/>
      <c r="F45" s="1238"/>
      <c r="G45" s="933" t="s">
        <v>160</v>
      </c>
      <c r="H45" s="935" t="s">
        <v>932</v>
      </c>
      <c r="I45" s="936"/>
      <c r="J45" s="937">
        <v>7</v>
      </c>
      <c r="K45" s="6"/>
      <c r="L45" s="570" t="s">
        <v>182</v>
      </c>
      <c r="M45" s="1834">
        <v>4</v>
      </c>
      <c r="N45" s="345"/>
      <c r="O45" s="40"/>
      <c r="P45" s="1238"/>
      <c r="Q45" s="388" t="s">
        <v>116</v>
      </c>
      <c r="R45" s="235" t="s">
        <v>559</v>
      </c>
      <c r="S45" s="437">
        <v>4900</v>
      </c>
    </row>
    <row r="46" spans="1:20" ht="15.75">
      <c r="A46" s="6"/>
      <c r="B46" s="399" t="s">
        <v>182</v>
      </c>
      <c r="C46" s="1822">
        <v>1</v>
      </c>
      <c r="D46" s="1477"/>
      <c r="E46" s="67"/>
      <c r="F46" s="1240"/>
      <c r="G46" s="277" t="s">
        <v>160</v>
      </c>
      <c r="H46" s="2364" t="s">
        <v>934</v>
      </c>
      <c r="I46" s="2365"/>
      <c r="J46" s="938">
        <v>8</v>
      </c>
      <c r="K46" s="506"/>
      <c r="L46" s="570" t="s">
        <v>182</v>
      </c>
      <c r="M46" s="1833">
        <v>20</v>
      </c>
      <c r="N46" s="1097"/>
      <c r="O46" s="40"/>
      <c r="P46" s="1239"/>
      <c r="Q46" s="288" t="s">
        <v>116</v>
      </c>
      <c r="R46" s="142" t="s">
        <v>837</v>
      </c>
      <c r="S46" s="423">
        <v>4650</v>
      </c>
    </row>
    <row r="47" spans="1:20" ht="16.5" thickBot="1">
      <c r="A47" s="6"/>
      <c r="B47" s="405" t="s">
        <v>182</v>
      </c>
      <c r="C47" s="1823">
        <v>5</v>
      </c>
      <c r="D47" s="1480"/>
      <c r="E47" s="81"/>
      <c r="F47" s="1243"/>
      <c r="G47" s="91" t="s">
        <v>420</v>
      </c>
      <c r="H47" s="2342" t="s">
        <v>419</v>
      </c>
      <c r="I47" s="2343"/>
      <c r="J47" s="1512">
        <v>108</v>
      </c>
      <c r="K47" s="506"/>
      <c r="L47" s="2383" t="s">
        <v>923</v>
      </c>
      <c r="M47" s="2384"/>
      <c r="N47" s="345"/>
      <c r="O47" s="40"/>
      <c r="P47" s="1238"/>
      <c r="Q47" s="388" t="s">
        <v>109</v>
      </c>
      <c r="R47" s="235" t="s">
        <v>816</v>
      </c>
      <c r="S47" s="437">
        <v>110500</v>
      </c>
    </row>
    <row r="48" spans="1:20" ht="15.75" customHeight="1">
      <c r="A48" s="6"/>
      <c r="B48" s="2391" t="s">
        <v>923</v>
      </c>
      <c r="C48" s="2392"/>
      <c r="D48" s="1478"/>
      <c r="E48" s="62"/>
      <c r="F48" s="1319"/>
      <c r="G48" s="9" t="s">
        <v>597</v>
      </c>
      <c r="H48" s="2320" t="s">
        <v>672</v>
      </c>
      <c r="I48" s="2321"/>
      <c r="J48" s="1511">
        <f>44946/200</f>
        <v>224.73</v>
      </c>
      <c r="K48" s="6"/>
      <c r="L48" s="570" t="s">
        <v>182</v>
      </c>
      <c r="M48" s="1833">
        <v>30</v>
      </c>
      <c r="N48" s="344"/>
      <c r="O48" s="40"/>
      <c r="P48" s="1239"/>
      <c r="Q48" s="571" t="s">
        <v>247</v>
      </c>
      <c r="R48" s="232" t="s">
        <v>905</v>
      </c>
      <c r="S48" s="572">
        <v>7990</v>
      </c>
    </row>
    <row r="49" spans="1:20" ht="15.75">
      <c r="A49" s="6"/>
      <c r="B49" s="1978" t="s">
        <v>923</v>
      </c>
      <c r="C49" s="1979"/>
      <c r="D49" s="1478"/>
      <c r="E49" s="62"/>
      <c r="F49" s="1238"/>
      <c r="G49" s="275" t="s">
        <v>595</v>
      </c>
      <c r="H49" s="2336" t="s">
        <v>671</v>
      </c>
      <c r="I49" s="2337"/>
      <c r="J49" s="623">
        <f>40986/300</f>
        <v>136.62</v>
      </c>
      <c r="K49" s="6"/>
      <c r="L49" s="2383" t="s">
        <v>923</v>
      </c>
      <c r="M49" s="2384"/>
      <c r="N49" s="345"/>
      <c r="O49" s="40"/>
      <c r="P49" s="1238"/>
      <c r="Q49" s="571" t="s">
        <v>413</v>
      </c>
      <c r="R49" s="232" t="s">
        <v>949</v>
      </c>
      <c r="S49" s="572">
        <v>10790</v>
      </c>
    </row>
    <row r="50" spans="1:20" ht="15.75" customHeight="1">
      <c r="B50" s="1924" t="s">
        <v>923</v>
      </c>
      <c r="C50" s="1925"/>
      <c r="D50" s="1479"/>
      <c r="E50" s="62"/>
      <c r="F50" s="1240"/>
      <c r="G50" s="277" t="s">
        <v>600</v>
      </c>
      <c r="H50" s="259" t="s">
        <v>598</v>
      </c>
      <c r="I50" s="260"/>
      <c r="J50" s="370"/>
      <c r="K50" s="6"/>
      <c r="L50" s="570" t="s">
        <v>182</v>
      </c>
      <c r="M50" s="1833">
        <v>2</v>
      </c>
      <c r="N50" s="344"/>
      <c r="O50" s="40"/>
      <c r="P50" s="1239"/>
      <c r="Q50" s="571" t="s">
        <v>815</v>
      </c>
      <c r="R50" s="232" t="s">
        <v>814</v>
      </c>
      <c r="S50" s="572">
        <v>15990</v>
      </c>
    </row>
    <row r="51" spans="1:20" ht="16.5" thickBot="1">
      <c r="B51" s="2393" t="s">
        <v>923</v>
      </c>
      <c r="C51" s="2394"/>
      <c r="D51" s="1480"/>
      <c r="E51" s="81"/>
      <c r="F51" s="1243"/>
      <c r="G51" s="91" t="s">
        <v>596</v>
      </c>
      <c r="H51" s="2338" t="s">
        <v>599</v>
      </c>
      <c r="I51" s="2339"/>
      <c r="J51" s="371">
        <f>118800/4000</f>
        <v>29.7</v>
      </c>
      <c r="K51" s="6"/>
      <c r="L51" s="1015">
        <v>4</v>
      </c>
      <c r="M51" s="1834">
        <v>8</v>
      </c>
      <c r="N51" s="1090"/>
      <c r="O51" s="40"/>
      <c r="P51" s="1238"/>
      <c r="Q51" s="607" t="s">
        <v>149</v>
      </c>
      <c r="R51" s="608" t="s">
        <v>829</v>
      </c>
      <c r="S51" s="609">
        <f>11900/2</f>
        <v>5950</v>
      </c>
    </row>
    <row r="52" spans="1:20" ht="15.75" customHeight="1">
      <c r="B52" s="1513">
        <v>1</v>
      </c>
      <c r="C52" s="1514">
        <v>2</v>
      </c>
      <c r="D52" s="1481"/>
      <c r="E52" s="62"/>
      <c r="F52" s="1515"/>
      <c r="G52" s="172" t="s">
        <v>391</v>
      </c>
      <c r="H52" s="2367" t="s">
        <v>791</v>
      </c>
      <c r="I52" s="2368"/>
      <c r="J52" s="200">
        <v>62</v>
      </c>
      <c r="K52" s="6"/>
      <c r="L52" s="444"/>
      <c r="M52" s="369"/>
      <c r="N52" s="344"/>
      <c r="O52" s="40"/>
      <c r="P52" s="1240"/>
      <c r="Q52" s="288"/>
      <c r="R52" s="142"/>
      <c r="S52" s="1014"/>
    </row>
    <row r="53" spans="1:20" ht="16.5" customHeight="1">
      <c r="B53" s="251" t="s">
        <v>182</v>
      </c>
      <c r="C53" s="1233">
        <v>2</v>
      </c>
      <c r="D53" s="1482"/>
      <c r="E53" s="62"/>
      <c r="F53" s="1241"/>
      <c r="G53" s="52" t="s">
        <v>197</v>
      </c>
      <c r="H53" s="2340" t="s">
        <v>790</v>
      </c>
      <c r="I53" s="2341"/>
      <c r="J53" s="372"/>
      <c r="K53" s="6"/>
      <c r="L53" s="472"/>
      <c r="M53" s="1834"/>
      <c r="N53" s="1030"/>
      <c r="O53" s="40"/>
      <c r="P53" s="1238"/>
      <c r="Q53" s="292"/>
      <c r="R53" s="1031"/>
      <c r="S53" s="462"/>
    </row>
    <row r="54" spans="1:20" ht="15.75" customHeight="1" thickBot="1">
      <c r="B54" s="34">
        <v>1</v>
      </c>
      <c r="C54" s="1234">
        <v>3</v>
      </c>
      <c r="D54" s="1483"/>
      <c r="E54" s="62"/>
      <c r="F54" s="1242"/>
      <c r="G54" s="11" t="s">
        <v>198</v>
      </c>
      <c r="H54" s="2367" t="s">
        <v>285</v>
      </c>
      <c r="I54" s="2368"/>
      <c r="J54" s="373">
        <f>126000/1800</f>
        <v>70</v>
      </c>
      <c r="K54" s="6"/>
      <c r="L54" s="1835"/>
      <c r="M54" s="1836"/>
      <c r="N54" s="450"/>
      <c r="O54" s="58"/>
      <c r="P54" s="1283"/>
      <c r="Q54" s="1028"/>
      <c r="R54" s="150"/>
      <c r="S54" s="1029"/>
    </row>
    <row r="55" spans="1:20" ht="15.75" customHeight="1" thickBot="1">
      <c r="B55" s="406">
        <v>1</v>
      </c>
      <c r="C55" s="1235">
        <v>3</v>
      </c>
      <c r="D55" s="1484"/>
      <c r="E55" s="81"/>
      <c r="F55" s="1516"/>
      <c r="G55" s="89" t="s">
        <v>199</v>
      </c>
      <c r="H55" s="2369" t="s">
        <v>291</v>
      </c>
      <c r="I55" s="2370"/>
      <c r="J55" s="374">
        <v>109</v>
      </c>
      <c r="K55" s="6"/>
    </row>
    <row r="56" spans="1:20" ht="15.75" customHeight="1" thickBot="1">
      <c r="A56" s="6"/>
      <c r="B56" s="55">
        <v>2</v>
      </c>
      <c r="C56" s="913">
        <v>4</v>
      </c>
      <c r="D56" s="1478"/>
      <c r="E56" s="62"/>
      <c r="F56" s="1319"/>
      <c r="G56" s="9" t="s">
        <v>183</v>
      </c>
      <c r="H56" s="2320" t="s">
        <v>673</v>
      </c>
      <c r="I56" s="2321"/>
      <c r="J56" s="375">
        <v>45</v>
      </c>
      <c r="K56" s="6"/>
      <c r="L56" s="2332" t="s">
        <v>640</v>
      </c>
      <c r="M56" s="2333"/>
      <c r="N56" s="2329" t="s">
        <v>1174</v>
      </c>
      <c r="O56" s="61"/>
      <c r="P56" s="1938" t="s">
        <v>467</v>
      </c>
      <c r="Q56" s="1971"/>
      <c r="R56" s="604" t="s">
        <v>280</v>
      </c>
      <c r="S56" s="499" t="s">
        <v>3</v>
      </c>
    </row>
    <row r="57" spans="1:20" ht="16.5" customHeight="1" thickBot="1">
      <c r="B57" s="41">
        <v>2</v>
      </c>
      <c r="C57" s="1232">
        <v>4</v>
      </c>
      <c r="D57" s="1485"/>
      <c r="E57" s="81"/>
      <c r="F57" s="1243"/>
      <c r="G57" s="42" t="s">
        <v>184</v>
      </c>
      <c r="H57" s="2338" t="s">
        <v>201</v>
      </c>
      <c r="I57" s="2339"/>
      <c r="J57" s="376">
        <v>10</v>
      </c>
      <c r="K57" s="6"/>
      <c r="L57" s="1837" t="s">
        <v>5</v>
      </c>
      <c r="M57" s="1838" t="s">
        <v>6</v>
      </c>
      <c r="N57" s="2330"/>
      <c r="O57" s="62"/>
      <c r="P57" s="1966"/>
      <c r="Q57" s="2331"/>
      <c r="R57" s="401" t="s">
        <v>545</v>
      </c>
      <c r="S57" s="369" t="s">
        <v>468</v>
      </c>
    </row>
    <row r="58" spans="1:20" ht="15.75" customHeight="1">
      <c r="B58" s="55">
        <v>1</v>
      </c>
      <c r="C58" s="913">
        <v>3</v>
      </c>
      <c r="D58" s="1478"/>
      <c r="E58" s="62"/>
      <c r="F58" s="1319"/>
      <c r="G58" s="9" t="s">
        <v>197</v>
      </c>
      <c r="H58" s="2320" t="s">
        <v>202</v>
      </c>
      <c r="I58" s="2321"/>
      <c r="J58" s="375">
        <v>80</v>
      </c>
      <c r="K58" s="6"/>
      <c r="L58" s="413" t="s">
        <v>182</v>
      </c>
      <c r="M58" s="1839">
        <v>2</v>
      </c>
      <c r="N58" s="1284"/>
      <c r="O58" s="62"/>
      <c r="P58" s="1844"/>
      <c r="Q58" s="1845" t="s">
        <v>156</v>
      </c>
      <c r="R58" s="507" t="s">
        <v>610</v>
      </c>
      <c r="S58" s="1846">
        <v>6840</v>
      </c>
      <c r="T58" s="40"/>
    </row>
    <row r="59" spans="1:20" ht="15.75" customHeight="1" thickBot="1">
      <c r="B59" s="516">
        <v>1</v>
      </c>
      <c r="C59" s="1229">
        <v>3</v>
      </c>
      <c r="D59" s="1486"/>
      <c r="E59" s="67"/>
      <c r="F59" s="1241"/>
      <c r="G59" s="13" t="s">
        <v>203</v>
      </c>
      <c r="H59" s="2371" t="s">
        <v>674</v>
      </c>
      <c r="I59" s="2372"/>
      <c r="J59" s="517">
        <v>28</v>
      </c>
      <c r="K59" s="6"/>
      <c r="L59" s="1840" t="s">
        <v>182</v>
      </c>
      <c r="M59" s="1841" t="s">
        <v>10</v>
      </c>
      <c r="N59" s="1268"/>
      <c r="O59" s="81"/>
      <c r="P59" s="1843"/>
      <c r="Q59" s="1842" t="s">
        <v>155</v>
      </c>
      <c r="R59" s="508" t="s">
        <v>838</v>
      </c>
      <c r="S59" s="424">
        <v>8940</v>
      </c>
    </row>
    <row r="60" spans="1:20" ht="15.75" customHeight="1" thickBot="1">
      <c r="B60" s="251" t="s">
        <v>182</v>
      </c>
      <c r="C60" s="1228">
        <v>2</v>
      </c>
      <c r="D60" s="1477"/>
      <c r="E60" s="67"/>
      <c r="F60" s="1240"/>
      <c r="G60" s="511" t="s">
        <v>195</v>
      </c>
      <c r="H60" s="2327" t="s">
        <v>204</v>
      </c>
      <c r="I60" s="2366"/>
      <c r="J60" s="518"/>
      <c r="K60" s="6"/>
      <c r="L60" s="1"/>
      <c r="P60" s="366"/>
      <c r="S60" s="1"/>
    </row>
    <row r="61" spans="1:20" ht="15.75" customHeight="1">
      <c r="B61" s="251" t="s">
        <v>182</v>
      </c>
      <c r="C61" s="1236">
        <v>2</v>
      </c>
      <c r="D61" s="1487"/>
      <c r="E61" s="67"/>
      <c r="F61" s="1241"/>
      <c r="G61" s="514" t="s">
        <v>195</v>
      </c>
      <c r="H61" s="2340" t="s">
        <v>205</v>
      </c>
      <c r="I61" s="2341"/>
      <c r="J61" s="515"/>
      <c r="K61" s="6"/>
      <c r="L61" s="1912" t="s">
        <v>640</v>
      </c>
      <c r="M61" s="1913"/>
      <c r="N61" s="2329" t="s">
        <v>1174</v>
      </c>
      <c r="O61" s="54"/>
      <c r="P61" s="2334" t="s">
        <v>606</v>
      </c>
      <c r="Q61" s="2335"/>
      <c r="R61" s="94" t="s">
        <v>607</v>
      </c>
      <c r="S61" s="436" t="s">
        <v>723</v>
      </c>
      <c r="T61" s="474">
        <v>100002005</v>
      </c>
    </row>
    <row r="62" spans="1:20" ht="15.75" customHeight="1">
      <c r="B62" s="1976" t="s">
        <v>923</v>
      </c>
      <c r="C62" s="1977"/>
      <c r="D62" s="1478"/>
      <c r="E62" s="67"/>
      <c r="F62" s="1240"/>
      <c r="G62" s="9" t="s">
        <v>195</v>
      </c>
      <c r="H62" s="2320" t="s">
        <v>750</v>
      </c>
      <c r="I62" s="2321"/>
      <c r="J62" s="518">
        <f>30625/2500</f>
        <v>12.25</v>
      </c>
      <c r="K62" s="6"/>
      <c r="L62" s="28" t="s">
        <v>5</v>
      </c>
      <c r="M62" s="912" t="s">
        <v>6</v>
      </c>
      <c r="N62" s="2330"/>
      <c r="O62" s="40"/>
      <c r="P62" s="2377" t="s">
        <v>609</v>
      </c>
      <c r="Q62" s="2378"/>
      <c r="R62" s="286" t="s">
        <v>608</v>
      </c>
      <c r="S62" s="418" t="s">
        <v>659</v>
      </c>
      <c r="T62" s="416"/>
    </row>
    <row r="63" spans="1:20" ht="15.75" customHeight="1" thickBot="1">
      <c r="B63" s="2408" t="s">
        <v>923</v>
      </c>
      <c r="C63" s="2409"/>
      <c r="D63" s="1485"/>
      <c r="E63" s="279"/>
      <c r="F63" s="1243"/>
      <c r="G63" s="42" t="s">
        <v>195</v>
      </c>
      <c r="H63" s="2338" t="s">
        <v>749</v>
      </c>
      <c r="I63" s="2339"/>
      <c r="J63" s="378">
        <f>23750/2500</f>
        <v>9.5</v>
      </c>
      <c r="K63" s="6"/>
      <c r="L63" s="429" t="s">
        <v>182</v>
      </c>
      <c r="M63" s="1282">
        <v>12</v>
      </c>
      <c r="N63" s="1502"/>
      <c r="O63" s="476"/>
      <c r="P63" s="1238"/>
      <c r="Q63" s="292" t="s">
        <v>689</v>
      </c>
      <c r="R63" s="292" t="s">
        <v>688</v>
      </c>
      <c r="S63" s="437">
        <f>16512/12</f>
        <v>1376</v>
      </c>
    </row>
    <row r="64" spans="1:20" ht="15.75">
      <c r="B64" s="55">
        <v>1</v>
      </c>
      <c r="C64" s="913">
        <v>1</v>
      </c>
      <c r="D64" s="1478"/>
      <c r="E64" s="67"/>
      <c r="F64" s="1319"/>
      <c r="G64" s="9" t="s">
        <v>282</v>
      </c>
      <c r="H64" s="2320" t="s">
        <v>283</v>
      </c>
      <c r="I64" s="2321"/>
      <c r="J64" s="379"/>
      <c r="K64" s="6"/>
      <c r="L64" s="444" t="s">
        <v>9</v>
      </c>
      <c r="M64" s="1847" t="s">
        <v>9</v>
      </c>
      <c r="N64" s="1499"/>
      <c r="O64" s="40"/>
      <c r="P64" s="1240"/>
      <c r="Q64" s="258" t="s">
        <v>15</v>
      </c>
      <c r="R64" s="142" t="s">
        <v>691</v>
      </c>
      <c r="S64" s="445">
        <v>5080</v>
      </c>
      <c r="T64" s="453"/>
    </row>
    <row r="65" spans="2:25" ht="15.75" customHeight="1" thickBot="1">
      <c r="B65" s="41">
        <v>1</v>
      </c>
      <c r="C65" s="1232">
        <v>1</v>
      </c>
      <c r="D65" s="1485"/>
      <c r="E65" s="81"/>
      <c r="F65" s="1243"/>
      <c r="G65" s="42" t="s">
        <v>282</v>
      </c>
      <c r="H65" s="2338" t="s">
        <v>284</v>
      </c>
      <c r="I65" s="2339"/>
      <c r="J65" s="380"/>
      <c r="K65" s="6"/>
      <c r="L65" s="443">
        <v>2</v>
      </c>
      <c r="M65" s="1282">
        <v>4</v>
      </c>
      <c r="N65" s="1501"/>
      <c r="O65" s="476"/>
      <c r="P65" s="1238"/>
      <c r="Q65" s="459" t="s">
        <v>1022</v>
      </c>
      <c r="R65" s="888" t="s">
        <v>1023</v>
      </c>
      <c r="S65" s="460">
        <v>1466</v>
      </c>
      <c r="T65" s="416"/>
      <c r="U65" s="40"/>
      <c r="Y65" s="40"/>
    </row>
    <row r="66" spans="2:25" ht="15.75" customHeight="1">
      <c r="B66" s="55">
        <v>1</v>
      </c>
      <c r="C66" s="913">
        <v>2</v>
      </c>
      <c r="D66" s="1488"/>
      <c r="E66" s="62"/>
      <c r="F66" s="1319"/>
      <c r="G66" s="9" t="s">
        <v>282</v>
      </c>
      <c r="H66" s="2320" t="s">
        <v>286</v>
      </c>
      <c r="I66" s="2321"/>
      <c r="J66" s="377">
        <v>160</v>
      </c>
      <c r="K66" s="6"/>
      <c r="L66" s="444">
        <v>1</v>
      </c>
      <c r="M66" s="1285">
        <v>2</v>
      </c>
      <c r="N66" s="1501"/>
      <c r="O66" s="40"/>
      <c r="P66" s="1240"/>
      <c r="Q66" s="955" t="s">
        <v>1022</v>
      </c>
      <c r="R66" s="955" t="s">
        <v>1024</v>
      </c>
      <c r="S66" s="572">
        <v>1664</v>
      </c>
      <c r="T66" s="416"/>
      <c r="U66" s="40"/>
      <c r="W66" s="40"/>
      <c r="X66" s="40"/>
      <c r="Y66" s="40"/>
    </row>
    <row r="67" spans="2:25" ht="15.75" customHeight="1" thickBot="1">
      <c r="B67" s="41">
        <v>1</v>
      </c>
      <c r="C67" s="1232">
        <v>2</v>
      </c>
      <c r="D67" s="1489"/>
      <c r="E67" s="81"/>
      <c r="F67" s="1243"/>
      <c r="G67" s="42" t="s">
        <v>288</v>
      </c>
      <c r="H67" s="2338" t="s">
        <v>287</v>
      </c>
      <c r="I67" s="2339"/>
      <c r="J67" s="381">
        <v>50</v>
      </c>
      <c r="K67" s="6"/>
      <c r="L67" s="429" t="s">
        <v>182</v>
      </c>
      <c r="M67" s="1282">
        <v>5</v>
      </c>
      <c r="N67" s="1503"/>
      <c r="O67" s="476"/>
      <c r="P67" s="1238"/>
      <c r="Q67" s="954" t="s">
        <v>11</v>
      </c>
      <c r="R67" s="608" t="s">
        <v>1043</v>
      </c>
      <c r="S67" s="1045">
        <v>12342</v>
      </c>
      <c r="T67" s="416"/>
      <c r="U67" s="40"/>
      <c r="W67" s="40"/>
      <c r="X67" s="40"/>
      <c r="Y67" s="40"/>
    </row>
    <row r="68" spans="2:25" ht="15.75" customHeight="1">
      <c r="B68" s="55">
        <v>1</v>
      </c>
      <c r="C68" s="913">
        <v>3</v>
      </c>
      <c r="D68" s="1478"/>
      <c r="E68" s="62"/>
      <c r="F68" s="1319"/>
      <c r="G68" s="9" t="s">
        <v>198</v>
      </c>
      <c r="H68" s="2320" t="s">
        <v>289</v>
      </c>
      <c r="I68" s="2321"/>
      <c r="J68" s="382">
        <v>115</v>
      </c>
      <c r="K68" s="6"/>
      <c r="L68" s="429" t="s">
        <v>182</v>
      </c>
      <c r="M68" s="1285">
        <v>300</v>
      </c>
      <c r="N68" s="1302"/>
      <c r="O68" s="40"/>
      <c r="P68" s="1240"/>
      <c r="Q68" s="258" t="s">
        <v>702</v>
      </c>
      <c r="R68" s="142" t="s">
        <v>703</v>
      </c>
      <c r="S68" s="445">
        <v>1737.5</v>
      </c>
      <c r="T68" s="416"/>
      <c r="U68" s="40"/>
      <c r="W68" s="40"/>
      <c r="X68" s="40"/>
      <c r="Y68" s="40"/>
    </row>
    <row r="69" spans="2:25" ht="15.75" customHeight="1" thickBot="1">
      <c r="B69" s="41">
        <v>1</v>
      </c>
      <c r="C69" s="1232">
        <v>3</v>
      </c>
      <c r="D69" s="1485"/>
      <c r="E69" s="81"/>
      <c r="F69" s="1243"/>
      <c r="G69" s="42" t="s">
        <v>198</v>
      </c>
      <c r="H69" s="2338" t="s">
        <v>290</v>
      </c>
      <c r="I69" s="2339"/>
      <c r="J69" s="383">
        <v>45</v>
      </c>
      <c r="K69" s="6"/>
      <c r="L69" s="1568" t="s">
        <v>9</v>
      </c>
      <c r="M69" s="1634">
        <v>2</v>
      </c>
      <c r="N69" s="1503"/>
      <c r="O69" s="40"/>
      <c r="P69" s="1267"/>
      <c r="Q69" s="459" t="s">
        <v>1367</v>
      </c>
      <c r="R69" s="888" t="s">
        <v>1366</v>
      </c>
      <c r="S69" s="455">
        <f>145530/5</f>
        <v>29106</v>
      </c>
      <c r="T69" s="416"/>
      <c r="U69" s="40"/>
      <c r="W69" s="40"/>
      <c r="X69" s="40"/>
      <c r="Y69" s="40"/>
    </row>
    <row r="70" spans="2:25" ht="15.75" customHeight="1" thickBot="1">
      <c r="K70" s="6"/>
      <c r="L70" s="429" t="s">
        <v>182</v>
      </c>
      <c r="M70" s="1285">
        <v>15</v>
      </c>
      <c r="N70" s="1501"/>
      <c r="O70" s="40"/>
      <c r="P70" s="1240"/>
      <c r="Q70" s="1123" t="s">
        <v>1101</v>
      </c>
      <c r="R70" s="1123" t="s">
        <v>213</v>
      </c>
      <c r="S70" s="456">
        <f>T59*5</f>
        <v>0</v>
      </c>
      <c r="T70" s="416"/>
      <c r="U70" s="40"/>
      <c r="W70" s="40"/>
      <c r="X70" s="40"/>
      <c r="Y70" s="40"/>
    </row>
    <row r="71" spans="2:25" ht="15.75">
      <c r="B71" s="1912" t="s">
        <v>640</v>
      </c>
      <c r="C71" s="1913"/>
      <c r="D71" s="2329" t="s">
        <v>1174</v>
      </c>
      <c r="E71" s="61"/>
      <c r="F71" s="1918" t="s">
        <v>477</v>
      </c>
      <c r="G71" s="1971"/>
      <c r="H71" s="2313" t="s">
        <v>338</v>
      </c>
      <c r="I71" s="2314"/>
      <c r="J71" s="436" t="s">
        <v>723</v>
      </c>
      <c r="K71" s="6"/>
      <c r="L71" s="2385" t="s">
        <v>923</v>
      </c>
      <c r="M71" s="2386"/>
      <c r="N71" s="1502"/>
      <c r="O71" s="40"/>
      <c r="P71" s="1238"/>
      <c r="Q71" s="292" t="s">
        <v>11</v>
      </c>
      <c r="R71" s="292" t="s">
        <v>693</v>
      </c>
      <c r="S71" s="437">
        <v>5658</v>
      </c>
      <c r="T71" s="475"/>
      <c r="U71" s="40"/>
      <c r="W71" s="40"/>
      <c r="X71" s="40"/>
      <c r="Y71" s="40"/>
    </row>
    <row r="72" spans="2:25" ht="15.75" customHeight="1">
      <c r="B72" s="28" t="s">
        <v>5</v>
      </c>
      <c r="C72" s="912" t="s">
        <v>6</v>
      </c>
      <c r="D72" s="2330"/>
      <c r="E72" s="62"/>
      <c r="F72" s="2410"/>
      <c r="G72" s="2331"/>
      <c r="H72" s="2320" t="s">
        <v>179</v>
      </c>
      <c r="I72" s="2321"/>
      <c r="J72" s="369"/>
      <c r="K72" s="6"/>
      <c r="L72" s="477">
        <v>1</v>
      </c>
      <c r="M72" s="1287">
        <v>2</v>
      </c>
      <c r="N72" s="1504"/>
      <c r="O72" s="40"/>
      <c r="P72" s="1239"/>
      <c r="Q72" s="459" t="s">
        <v>696</v>
      </c>
      <c r="R72" s="473" t="s">
        <v>699</v>
      </c>
      <c r="S72" s="460">
        <f>7063/50</f>
        <v>141.26</v>
      </c>
      <c r="T72" s="475"/>
      <c r="U72" s="40"/>
      <c r="W72" s="40"/>
      <c r="X72" s="40"/>
      <c r="Y72" s="40"/>
    </row>
    <row r="73" spans="2:25" ht="15.75">
      <c r="B73" s="1928" t="s">
        <v>923</v>
      </c>
      <c r="C73" s="2406"/>
      <c r="D73" s="1490"/>
      <c r="E73" s="62"/>
      <c r="F73" s="1241"/>
      <c r="G73" s="52" t="s">
        <v>499</v>
      </c>
      <c r="H73" s="2362" t="s">
        <v>500</v>
      </c>
      <c r="I73" s="2363"/>
      <c r="J73" s="441"/>
      <c r="K73" s="6"/>
      <c r="L73" s="472" t="s">
        <v>9</v>
      </c>
      <c r="M73" s="1848">
        <v>1</v>
      </c>
      <c r="N73" s="1501"/>
      <c r="O73" s="40"/>
      <c r="P73" s="1238"/>
      <c r="Q73" s="955" t="s">
        <v>155</v>
      </c>
      <c r="R73" s="955" t="s">
        <v>686</v>
      </c>
      <c r="S73" s="572">
        <f>233437/21.3</f>
        <v>10959.483568075117</v>
      </c>
      <c r="T73" s="416"/>
      <c r="U73" s="40"/>
      <c r="W73" s="40"/>
      <c r="X73" s="40"/>
      <c r="Y73" s="40"/>
    </row>
    <row r="74" spans="2:25" ht="15.75" customHeight="1">
      <c r="B74" s="55" t="s">
        <v>9</v>
      </c>
      <c r="C74" s="913">
        <v>24</v>
      </c>
      <c r="D74" s="1446"/>
      <c r="E74" s="62"/>
      <c r="F74" s="1240"/>
      <c r="G74" s="12" t="s">
        <v>15</v>
      </c>
      <c r="H74" s="2327" t="s">
        <v>471</v>
      </c>
      <c r="I74" s="2328"/>
      <c r="J74" s="35">
        <f>4971/1.19</f>
        <v>4177.3109243697481</v>
      </c>
      <c r="K74" s="6"/>
      <c r="L74" s="444" t="s">
        <v>9</v>
      </c>
      <c r="M74" s="1285">
        <v>1</v>
      </c>
      <c r="N74" s="1499"/>
      <c r="O74" s="40"/>
      <c r="P74" s="1240"/>
      <c r="Q74" s="457" t="s">
        <v>501</v>
      </c>
      <c r="R74" s="458" t="s">
        <v>695</v>
      </c>
      <c r="S74" s="455">
        <v>1588</v>
      </c>
      <c r="T74" s="416"/>
      <c r="U74" s="40"/>
      <c r="W74" s="40"/>
      <c r="X74" s="40"/>
      <c r="Y74" s="40"/>
    </row>
    <row r="75" spans="2:25" ht="15.75">
      <c r="B75" s="56">
        <v>1</v>
      </c>
      <c r="C75" s="914">
        <v>4</v>
      </c>
      <c r="D75" s="1447"/>
      <c r="E75" s="62"/>
      <c r="F75" s="1241"/>
      <c r="G75" s="10" t="s">
        <v>168</v>
      </c>
      <c r="H75" s="2362" t="s">
        <v>181</v>
      </c>
      <c r="I75" s="2363"/>
      <c r="J75" s="57"/>
      <c r="K75" s="6"/>
      <c r="L75" s="429" t="s">
        <v>182</v>
      </c>
      <c r="M75" s="1282"/>
      <c r="N75" s="1501"/>
      <c r="O75" s="40"/>
      <c r="P75" s="1238"/>
      <c r="Q75" s="292" t="s">
        <v>116</v>
      </c>
      <c r="R75" s="235" t="s">
        <v>692</v>
      </c>
      <c r="S75" s="437">
        <f>20000/5</f>
        <v>4000</v>
      </c>
      <c r="T75" s="416"/>
      <c r="U75" s="40"/>
      <c r="W75" s="40"/>
      <c r="X75" s="40"/>
      <c r="Y75" s="40"/>
    </row>
    <row r="76" spans="2:25" ht="15.75" customHeight="1">
      <c r="B76" s="1924" t="s">
        <v>923</v>
      </c>
      <c r="C76" s="2407"/>
      <c r="D76" s="1491"/>
      <c r="E76" s="62"/>
      <c r="F76" s="1240"/>
      <c r="G76" s="12" t="s">
        <v>15</v>
      </c>
      <c r="H76" s="2327" t="s">
        <v>185</v>
      </c>
      <c r="I76" s="2328"/>
      <c r="J76" s="35"/>
      <c r="K76" s="6"/>
      <c r="L76" s="429" t="s">
        <v>182</v>
      </c>
      <c r="M76" s="1285"/>
      <c r="N76" s="1505"/>
      <c r="O76" s="40"/>
      <c r="P76" s="1240"/>
      <c r="Q76" s="454" t="s">
        <v>116</v>
      </c>
      <c r="R76" s="286" t="s">
        <v>685</v>
      </c>
      <c r="S76" s="445">
        <v>4563</v>
      </c>
      <c r="T76" s="416"/>
      <c r="U76" s="40"/>
      <c r="W76" s="40"/>
      <c r="X76" s="40"/>
      <c r="Y76" s="40"/>
    </row>
    <row r="77" spans="2:25" ht="15.75" customHeight="1">
      <c r="B77" s="56">
        <v>200</v>
      </c>
      <c r="C77" s="914">
        <v>400</v>
      </c>
      <c r="D77" s="1447"/>
      <c r="E77" s="62"/>
      <c r="F77" s="1241"/>
      <c r="G77" s="10" t="s">
        <v>15</v>
      </c>
      <c r="H77" s="2362" t="s">
        <v>361</v>
      </c>
      <c r="I77" s="2363"/>
      <c r="J77" s="57"/>
      <c r="K77" s="6"/>
      <c r="L77" s="443">
        <v>5</v>
      </c>
      <c r="M77" s="1282">
        <v>10</v>
      </c>
      <c r="N77" s="1501"/>
      <c r="O77" s="40"/>
      <c r="P77" s="1238"/>
      <c r="Q77" s="598" t="s">
        <v>116</v>
      </c>
      <c r="R77" s="598" t="s">
        <v>684</v>
      </c>
      <c r="S77" s="437">
        <v>4563</v>
      </c>
      <c r="T77" s="416"/>
      <c r="W77" s="40"/>
      <c r="X77" s="40"/>
      <c r="Y77" s="40"/>
    </row>
    <row r="78" spans="2:25" ht="16.5" customHeight="1">
      <c r="B78" s="404" t="s">
        <v>182</v>
      </c>
      <c r="C78" s="913">
        <v>800</v>
      </c>
      <c r="D78" s="1491"/>
      <c r="E78" s="62"/>
      <c r="F78" s="1240"/>
      <c r="G78" s="12" t="s">
        <v>188</v>
      </c>
      <c r="H78" s="2327" t="s">
        <v>189</v>
      </c>
      <c r="I78" s="2328"/>
      <c r="J78" s="35"/>
      <c r="K78" s="6"/>
      <c r="L78" s="2387" t="s">
        <v>923</v>
      </c>
      <c r="M78" s="2388"/>
      <c r="N78" s="1506"/>
      <c r="O78" s="40"/>
      <c r="P78" s="1239"/>
      <c r="Q78" s="461" t="s">
        <v>587</v>
      </c>
      <c r="R78" s="461" t="s">
        <v>697</v>
      </c>
      <c r="S78" s="460">
        <v>8988</v>
      </c>
      <c r="T78" s="416"/>
      <c r="U78" s="40" t="s">
        <v>809</v>
      </c>
      <c r="W78" s="40"/>
      <c r="X78" s="40"/>
      <c r="Y78" s="40"/>
    </row>
    <row r="79" spans="2:25" ht="15.75" customHeight="1">
      <c r="B79" s="1928" t="s">
        <v>923</v>
      </c>
      <c r="C79" s="2406"/>
      <c r="D79" s="1450"/>
      <c r="E79" s="62"/>
      <c r="F79" s="1241"/>
      <c r="G79" s="10" t="s">
        <v>15</v>
      </c>
      <c r="H79" s="2362" t="s">
        <v>616</v>
      </c>
      <c r="I79" s="2363"/>
      <c r="J79" s="57"/>
      <c r="K79" s="6"/>
      <c r="L79" s="429" t="s">
        <v>182</v>
      </c>
      <c r="M79" s="1634">
        <v>1</v>
      </c>
      <c r="N79" s="1635"/>
      <c r="O79" s="40"/>
      <c r="P79" s="1267"/>
      <c r="Q79" s="1597" t="s">
        <v>155</v>
      </c>
      <c r="R79" s="1646" t="s">
        <v>745</v>
      </c>
      <c r="S79" s="1645">
        <v>3690</v>
      </c>
      <c r="T79" s="416"/>
      <c r="U79" s="40"/>
      <c r="W79" s="40"/>
      <c r="X79" s="40"/>
      <c r="Y79" s="40"/>
    </row>
    <row r="80" spans="2:25" ht="15.75" customHeight="1">
      <c r="B80" s="1924" t="s">
        <v>923</v>
      </c>
      <c r="C80" s="2407"/>
      <c r="D80" s="1491"/>
      <c r="E80" s="62"/>
      <c r="F80" s="1240"/>
      <c r="G80" s="12" t="s">
        <v>15</v>
      </c>
      <c r="H80" s="2327" t="s">
        <v>617</v>
      </c>
      <c r="I80" s="2328"/>
      <c r="J80" s="35"/>
      <c r="L80" s="1569" t="s">
        <v>9</v>
      </c>
      <c r="M80" s="1358">
        <v>4</v>
      </c>
      <c r="N80" s="1628"/>
      <c r="O80" s="40"/>
      <c r="P80" s="1239"/>
      <c r="Q80" s="955" t="s">
        <v>1045</v>
      </c>
      <c r="R80" s="955" t="s">
        <v>1044</v>
      </c>
      <c r="S80" s="572">
        <v>13990</v>
      </c>
      <c r="T80" s="416"/>
      <c r="U80" s="40"/>
      <c r="W80" s="40"/>
      <c r="X80" s="40"/>
    </row>
    <row r="81" spans="1:21" ht="15.75" customHeight="1">
      <c r="B81" s="56">
        <v>2000</v>
      </c>
      <c r="C81" s="914">
        <v>4000</v>
      </c>
      <c r="D81" s="1447"/>
      <c r="E81" s="62"/>
      <c r="F81" s="1241"/>
      <c r="G81" s="10" t="s">
        <v>15</v>
      </c>
      <c r="H81" s="2362" t="s">
        <v>618</v>
      </c>
      <c r="I81" s="2363"/>
      <c r="J81" s="57"/>
      <c r="L81" s="1568" t="s">
        <v>9</v>
      </c>
      <c r="M81" s="1634">
        <v>1</v>
      </c>
      <c r="N81" s="1505"/>
      <c r="O81" s="40"/>
      <c r="P81" s="1267"/>
      <c r="Q81" s="461" t="s">
        <v>11</v>
      </c>
      <c r="R81" s="461" t="s">
        <v>1331</v>
      </c>
      <c r="S81" s="572">
        <v>5335</v>
      </c>
      <c r="T81" s="416"/>
      <c r="U81" s="40"/>
    </row>
    <row r="82" spans="1:21" ht="15.75">
      <c r="B82" s="55">
        <v>2</v>
      </c>
      <c r="C82" s="913">
        <v>4</v>
      </c>
      <c r="D82" s="1446"/>
      <c r="E82" s="62"/>
      <c r="F82" s="1240"/>
      <c r="G82" s="12" t="s">
        <v>194</v>
      </c>
      <c r="H82" s="2327" t="s">
        <v>559</v>
      </c>
      <c r="I82" s="2328"/>
      <c r="J82" s="35"/>
      <c r="L82" s="429" t="s">
        <v>182</v>
      </c>
      <c r="M82" s="1286">
        <v>4</v>
      </c>
      <c r="N82" s="1506"/>
      <c r="O82" s="40"/>
      <c r="P82" s="1239"/>
      <c r="Q82" s="1625" t="s">
        <v>247</v>
      </c>
      <c r="R82" s="1626" t="s">
        <v>1021</v>
      </c>
      <c r="S82" s="1627">
        <v>23100</v>
      </c>
      <c r="T82" s="416">
        <v>2310</v>
      </c>
      <c r="U82" s="40"/>
    </row>
    <row r="83" spans="1:21" ht="15.75">
      <c r="B83" s="56">
        <v>1</v>
      </c>
      <c r="C83" s="914">
        <v>3</v>
      </c>
      <c r="D83" s="1447"/>
      <c r="E83" s="62"/>
      <c r="F83" s="1241"/>
      <c r="G83" s="10" t="s">
        <v>194</v>
      </c>
      <c r="H83" s="2362" t="s">
        <v>546</v>
      </c>
      <c r="I83" s="2363"/>
      <c r="J83" s="57"/>
      <c r="K83" s="75"/>
      <c r="L83" s="1568" t="s">
        <v>9</v>
      </c>
      <c r="M83" s="1634">
        <v>3</v>
      </c>
      <c r="N83" s="1501"/>
      <c r="O83" s="40"/>
      <c r="P83" s="1267"/>
      <c r="Q83" s="1642" t="s">
        <v>719</v>
      </c>
      <c r="R83" s="1621" t="s">
        <v>718</v>
      </c>
      <c r="S83" s="1645">
        <f>T82/12.5</f>
        <v>184.8</v>
      </c>
      <c r="T83" s="416">
        <f>S95*12.5</f>
        <v>0</v>
      </c>
      <c r="U83" s="40"/>
    </row>
    <row r="84" spans="1:21" ht="15.75">
      <c r="B84" s="1924" t="s">
        <v>923</v>
      </c>
      <c r="C84" s="2407"/>
      <c r="D84" s="1491"/>
      <c r="E84" s="62"/>
      <c r="F84" s="1240"/>
      <c r="G84" s="12" t="s">
        <v>194</v>
      </c>
      <c r="H84" s="2320" t="s">
        <v>547</v>
      </c>
      <c r="I84" s="2398"/>
      <c r="J84" s="35"/>
      <c r="K84" s="75"/>
      <c r="L84" s="429" t="s">
        <v>182</v>
      </c>
      <c r="M84" s="1358">
        <v>16</v>
      </c>
      <c r="N84" s="1628"/>
      <c r="O84" s="40"/>
      <c r="P84" s="1239"/>
      <c r="Q84" s="1592" t="s">
        <v>11</v>
      </c>
      <c r="R84" s="238" t="s">
        <v>687</v>
      </c>
      <c r="S84" s="1627">
        <f>116920/20</f>
        <v>5846</v>
      </c>
      <c r="T84" s="416"/>
      <c r="U84" s="40"/>
    </row>
    <row r="85" spans="1:21" ht="15.75">
      <c r="A85" s="6"/>
      <c r="B85" s="226">
        <v>1</v>
      </c>
      <c r="C85" s="916">
        <v>2</v>
      </c>
      <c r="D85" s="1446"/>
      <c r="E85" s="62"/>
      <c r="F85" s="1238"/>
      <c r="G85" s="10" t="s">
        <v>194</v>
      </c>
      <c r="H85" s="2336" t="s">
        <v>744</v>
      </c>
      <c r="I85" s="2421"/>
      <c r="J85" s="128"/>
      <c r="L85" s="429" t="s">
        <v>182</v>
      </c>
      <c r="M85" s="1634">
        <v>2</v>
      </c>
      <c r="N85" s="1636"/>
      <c r="O85" s="40"/>
      <c r="P85" s="1267"/>
      <c r="Q85" s="1642" t="s">
        <v>807</v>
      </c>
      <c r="R85" s="1643" t="s">
        <v>808</v>
      </c>
      <c r="S85" s="1644">
        <v>115476</v>
      </c>
      <c r="T85" s="416"/>
      <c r="U85" s="40"/>
    </row>
    <row r="86" spans="1:21" ht="15.75" customHeight="1">
      <c r="A86" s="6"/>
      <c r="B86" s="55" t="s">
        <v>9</v>
      </c>
      <c r="C86" s="913">
        <v>30</v>
      </c>
      <c r="D86" s="1446"/>
      <c r="E86" s="62"/>
      <c r="F86" s="1240"/>
      <c r="G86" s="12" t="s">
        <v>116</v>
      </c>
      <c r="H86" s="2327" t="s">
        <v>410</v>
      </c>
      <c r="I86" s="2328"/>
      <c r="J86" s="425">
        <v>4261</v>
      </c>
      <c r="L86" s="429" t="s">
        <v>182</v>
      </c>
      <c r="M86" s="1358">
        <v>2</v>
      </c>
      <c r="N86" s="1628"/>
      <c r="O86" s="478"/>
      <c r="P86" s="1239"/>
      <c r="Q86" s="1592" t="s">
        <v>818</v>
      </c>
      <c r="R86" s="238" t="s">
        <v>817</v>
      </c>
      <c r="S86" s="1627"/>
      <c r="T86" s="416">
        <f>(S85/12)*1.36</f>
        <v>13087.28</v>
      </c>
    </row>
    <row r="87" spans="1:21" ht="15.75" customHeight="1">
      <c r="A87" s="6"/>
      <c r="B87" s="226" t="s">
        <v>9</v>
      </c>
      <c r="C87" s="916">
        <v>10</v>
      </c>
      <c r="D87" s="1446"/>
      <c r="E87" s="62"/>
      <c r="F87" s="1238"/>
      <c r="G87" s="212" t="s">
        <v>116</v>
      </c>
      <c r="H87" s="2346" t="s">
        <v>409</v>
      </c>
      <c r="I87" s="2347"/>
      <c r="J87" s="426">
        <v>4261</v>
      </c>
      <c r="L87" s="429" t="s">
        <v>182</v>
      </c>
      <c r="M87" s="1612">
        <v>6</v>
      </c>
      <c r="N87" s="1503"/>
      <c r="O87" s="40"/>
      <c r="P87" s="1267"/>
      <c r="Q87" s="459" t="s">
        <v>247</v>
      </c>
      <c r="R87" s="888" t="s">
        <v>1399</v>
      </c>
      <c r="S87" s="889">
        <v>8272</v>
      </c>
      <c r="T87" s="416"/>
      <c r="U87" s="40"/>
    </row>
    <row r="88" spans="1:21" ht="15.75" customHeight="1">
      <c r="A88" s="75"/>
      <c r="B88" s="55" t="s">
        <v>9</v>
      </c>
      <c r="C88" s="913">
        <v>20</v>
      </c>
      <c r="D88" s="1446"/>
      <c r="E88" s="62"/>
      <c r="F88" s="1240"/>
      <c r="G88" s="12" t="s">
        <v>116</v>
      </c>
      <c r="H88" s="2327" t="s">
        <v>408</v>
      </c>
      <c r="I88" s="2328"/>
      <c r="J88" s="425">
        <v>4261</v>
      </c>
      <c r="L88" s="477" t="s">
        <v>9</v>
      </c>
      <c r="M88" s="1629">
        <v>5</v>
      </c>
      <c r="N88" s="1628"/>
      <c r="O88" s="478"/>
      <c r="P88" s="1239"/>
      <c r="Q88" s="955" t="s">
        <v>501</v>
      </c>
      <c r="R88" s="955" t="s">
        <v>1400</v>
      </c>
      <c r="S88" s="460" t="s">
        <v>9</v>
      </c>
      <c r="T88" s="416"/>
      <c r="U88" s="40"/>
    </row>
    <row r="89" spans="1:21" ht="15.75" customHeight="1">
      <c r="A89" s="75"/>
      <c r="B89" s="2381" t="s">
        <v>923</v>
      </c>
      <c r="C89" s="2382"/>
      <c r="D89" s="1446"/>
      <c r="E89" s="62"/>
      <c r="F89" s="1238"/>
      <c r="G89" s="212" t="s">
        <v>190</v>
      </c>
      <c r="H89" s="2346" t="s">
        <v>191</v>
      </c>
      <c r="I89" s="2347"/>
      <c r="J89" s="128"/>
      <c r="L89" s="429" t="s">
        <v>182</v>
      </c>
      <c r="M89" s="1612">
        <v>30</v>
      </c>
      <c r="N89" s="1526"/>
      <c r="O89" s="40"/>
      <c r="P89" s="1267"/>
      <c r="Q89" s="1642" t="s">
        <v>11</v>
      </c>
      <c r="R89" s="1621" t="s">
        <v>694</v>
      </c>
      <c r="S89" s="1645">
        <v>10300</v>
      </c>
      <c r="T89" s="416"/>
      <c r="U89" s="40"/>
    </row>
    <row r="90" spans="1:21" ht="15.75" customHeight="1">
      <c r="A90" s="6"/>
      <c r="B90" s="1924" t="s">
        <v>923</v>
      </c>
      <c r="C90" s="2407"/>
      <c r="D90" s="1446"/>
      <c r="E90" s="62"/>
      <c r="F90" s="1240"/>
      <c r="G90" s="510" t="s">
        <v>578</v>
      </c>
      <c r="H90" s="2327" t="s">
        <v>576</v>
      </c>
      <c r="I90" s="2328"/>
      <c r="J90" s="35"/>
      <c r="L90" s="1624"/>
      <c r="M90" s="1288"/>
      <c r="N90" s="1302"/>
      <c r="O90" s="478"/>
      <c r="P90" s="1240"/>
      <c r="Q90" s="461" t="s">
        <v>1036</v>
      </c>
      <c r="R90" s="1611" t="s">
        <v>217</v>
      </c>
      <c r="S90" s="572">
        <v>2167</v>
      </c>
      <c r="T90" s="416"/>
      <c r="U90" s="40"/>
    </row>
    <row r="91" spans="1:21" ht="15.75" customHeight="1">
      <c r="A91" s="6"/>
      <c r="B91" s="2381" t="s">
        <v>923</v>
      </c>
      <c r="C91" s="2382"/>
      <c r="D91" s="1492"/>
      <c r="E91" s="62"/>
      <c r="F91" s="1238"/>
      <c r="G91" s="212" t="s">
        <v>304</v>
      </c>
      <c r="H91" s="2346" t="s">
        <v>193</v>
      </c>
      <c r="I91" s="2347"/>
      <c r="J91" s="128"/>
      <c r="L91" s="429" t="s">
        <v>182</v>
      </c>
      <c r="M91" s="1286">
        <v>15</v>
      </c>
      <c r="N91" s="1526"/>
      <c r="O91" s="478"/>
      <c r="P91" s="1267"/>
      <c r="Q91" s="1640" t="s">
        <v>383</v>
      </c>
      <c r="R91" s="1640" t="s">
        <v>824</v>
      </c>
      <c r="S91" s="1641">
        <v>7388</v>
      </c>
      <c r="T91" s="416"/>
      <c r="U91" s="40"/>
    </row>
    <row r="92" spans="1:21" ht="15.75" customHeight="1">
      <c r="A92" s="6"/>
      <c r="B92" s="55">
        <v>2</v>
      </c>
      <c r="C92" s="913">
        <v>5</v>
      </c>
      <c r="D92" s="1446"/>
      <c r="E92" s="62"/>
      <c r="F92" s="1240"/>
      <c r="G92" s="12" t="s">
        <v>194</v>
      </c>
      <c r="H92" s="2327" t="s">
        <v>305</v>
      </c>
      <c r="I92" s="2328"/>
      <c r="J92" s="35"/>
      <c r="L92" s="429" t="s">
        <v>182</v>
      </c>
      <c r="M92" s="1286">
        <v>8</v>
      </c>
      <c r="N92" s="1501"/>
      <c r="O92" s="478"/>
      <c r="P92" s="1239"/>
      <c r="Q92" s="1630" t="s">
        <v>149</v>
      </c>
      <c r="R92" s="1126" t="s">
        <v>828</v>
      </c>
      <c r="S92" s="1631">
        <v>9807</v>
      </c>
      <c r="T92" s="416"/>
      <c r="U92" s="40"/>
    </row>
    <row r="93" spans="1:21" ht="15.75" customHeight="1">
      <c r="A93" s="6"/>
      <c r="B93" s="226" t="s">
        <v>9</v>
      </c>
      <c r="C93" s="916">
        <v>2</v>
      </c>
      <c r="D93" s="1446"/>
      <c r="E93" s="62"/>
      <c r="F93" s="1238"/>
      <c r="G93" s="212" t="s">
        <v>194</v>
      </c>
      <c r="H93" s="2346" t="s">
        <v>825</v>
      </c>
      <c r="I93" s="2347"/>
      <c r="J93" s="128"/>
      <c r="L93" s="429" t="s">
        <v>182</v>
      </c>
      <c r="M93" s="1286">
        <v>8</v>
      </c>
      <c r="N93" s="1503"/>
      <c r="O93" s="478"/>
      <c r="P93" s="1267"/>
      <c r="Q93" s="1637" t="s">
        <v>149</v>
      </c>
      <c r="R93" s="1638" t="s">
        <v>690</v>
      </c>
      <c r="S93" s="1639">
        <f>12836/4</f>
        <v>3209</v>
      </c>
      <c r="T93" s="416"/>
      <c r="U93" s="40"/>
    </row>
    <row r="94" spans="1:21" ht="15.75" customHeight="1" thickBot="1">
      <c r="A94" s="6"/>
      <c r="B94" s="55" t="s">
        <v>9</v>
      </c>
      <c r="C94" s="913">
        <v>2</v>
      </c>
      <c r="D94" s="1446"/>
      <c r="E94" s="62"/>
      <c r="F94" s="1240"/>
      <c r="G94" s="12" t="s">
        <v>328</v>
      </c>
      <c r="H94" s="2327" t="s">
        <v>329</v>
      </c>
      <c r="I94" s="2328"/>
      <c r="J94" s="35"/>
      <c r="L94" s="1849" t="s">
        <v>182</v>
      </c>
      <c r="M94" s="476">
        <v>3</v>
      </c>
      <c r="N94" s="1633"/>
      <c r="O94" s="478"/>
      <c r="P94" s="1632"/>
      <c r="Q94" s="1339" t="s">
        <v>746</v>
      </c>
      <c r="R94" s="1340" t="s">
        <v>698</v>
      </c>
      <c r="S94" s="1341">
        <f>6869/25</f>
        <v>274.76</v>
      </c>
      <c r="T94" s="416"/>
      <c r="U94" s="40"/>
    </row>
    <row r="95" spans="1:21" ht="15.75" customHeight="1">
      <c r="A95" s="6"/>
      <c r="B95" s="2415" t="s">
        <v>1395</v>
      </c>
      <c r="C95" s="2416"/>
      <c r="D95" s="1446"/>
      <c r="E95" s="62"/>
      <c r="F95" s="1238"/>
      <c r="G95" s="212" t="s">
        <v>516</v>
      </c>
      <c r="H95" s="2346" t="s">
        <v>660</v>
      </c>
      <c r="I95" s="2347"/>
      <c r="J95" s="128">
        <v>52.48</v>
      </c>
      <c r="L95" s="1046">
        <v>10</v>
      </c>
      <c r="M95" s="1289">
        <v>20</v>
      </c>
      <c r="N95" s="1500"/>
      <c r="O95" s="54"/>
      <c r="P95" s="1342"/>
      <c r="Q95" s="951" t="s">
        <v>11</v>
      </c>
      <c r="R95" s="952" t="s">
        <v>943</v>
      </c>
      <c r="S95" s="953"/>
      <c r="T95" s="416"/>
      <c r="U95" s="40"/>
    </row>
    <row r="96" spans="1:21" ht="15.75" customHeight="1">
      <c r="A96" s="6"/>
      <c r="B96" s="404" t="s">
        <v>182</v>
      </c>
      <c r="C96" s="1228">
        <v>2</v>
      </c>
      <c r="D96" s="1493"/>
      <c r="E96" s="1256"/>
      <c r="F96" s="1240"/>
      <c r="G96" s="511" t="s">
        <v>151</v>
      </c>
      <c r="H96" s="2327" t="s">
        <v>450</v>
      </c>
      <c r="I96" s="2328"/>
      <c r="J96" s="512">
        <f>18167/1.19</f>
        <v>15266.386554621849</v>
      </c>
      <c r="L96" s="443">
        <v>10</v>
      </c>
      <c r="M96" s="1282">
        <v>20</v>
      </c>
      <c r="N96" s="1501"/>
      <c r="O96" s="40"/>
      <c r="P96" s="1238"/>
      <c r="Q96" s="857" t="s">
        <v>11</v>
      </c>
      <c r="R96" s="858" t="s">
        <v>945</v>
      </c>
      <c r="S96" s="437"/>
      <c r="T96" s="416"/>
      <c r="U96" s="40"/>
    </row>
    <row r="97" spans="1:21" ht="15.75" customHeight="1" thickBot="1">
      <c r="A97" s="6"/>
      <c r="B97" s="722">
        <v>1</v>
      </c>
      <c r="C97" s="1252">
        <v>3</v>
      </c>
      <c r="D97" s="1494"/>
      <c r="E97" s="1256"/>
      <c r="F97" s="1262"/>
      <c r="G97" s="1071" t="s">
        <v>194</v>
      </c>
      <c r="H97" s="2411" t="s">
        <v>577</v>
      </c>
      <c r="I97" s="2412"/>
      <c r="J97" s="1072"/>
      <c r="L97" s="444">
        <v>10</v>
      </c>
      <c r="M97" s="1285">
        <v>20</v>
      </c>
      <c r="N97" s="1505"/>
      <c r="O97" s="40"/>
      <c r="P97" s="1240"/>
      <c r="Q97" s="1765" t="s">
        <v>11</v>
      </c>
      <c r="R97" s="1766" t="s">
        <v>946</v>
      </c>
      <c r="S97" s="1767" t="s">
        <v>1368</v>
      </c>
      <c r="T97" s="416"/>
      <c r="U97" s="40"/>
    </row>
    <row r="98" spans="1:21" ht="15.75" customHeight="1">
      <c r="A98" s="6"/>
      <c r="B98" s="1073" t="s">
        <v>182</v>
      </c>
      <c r="C98" s="1253">
        <v>2</v>
      </c>
      <c r="D98" s="1495"/>
      <c r="E98" s="1257"/>
      <c r="F98" s="1518"/>
      <c r="G98" s="276" t="s">
        <v>322</v>
      </c>
      <c r="H98" s="2313" t="s">
        <v>331</v>
      </c>
      <c r="I98" s="2403"/>
      <c r="J98" s="1074"/>
      <c r="L98" s="443">
        <v>10</v>
      </c>
      <c r="M98" s="1282">
        <v>20</v>
      </c>
      <c r="N98" s="1501"/>
      <c r="O98" s="40"/>
      <c r="P98" s="1238"/>
      <c r="Q98" s="857" t="s">
        <v>11</v>
      </c>
      <c r="R98" s="858" t="s">
        <v>947</v>
      </c>
      <c r="S98" s="437"/>
      <c r="T98" s="416"/>
      <c r="U98" s="40"/>
    </row>
    <row r="99" spans="1:21" ht="15.75" customHeight="1">
      <c r="A99" s="6"/>
      <c r="B99" s="113" t="s">
        <v>182</v>
      </c>
      <c r="C99" s="1254">
        <v>1</v>
      </c>
      <c r="D99" s="1825"/>
      <c r="E99" s="1256"/>
      <c r="F99" s="1267"/>
      <c r="G99" s="212" t="s">
        <v>322</v>
      </c>
      <c r="H99" s="2346" t="s">
        <v>332</v>
      </c>
      <c r="I99" s="2347"/>
      <c r="J99" s="103"/>
      <c r="L99" s="444">
        <v>10</v>
      </c>
      <c r="M99" s="1285">
        <v>20</v>
      </c>
      <c r="N99" s="1505"/>
      <c r="O99" s="1290"/>
      <c r="P99" s="1240"/>
      <c r="Q99" s="857" t="s">
        <v>11</v>
      </c>
      <c r="R99" s="858" t="s">
        <v>948</v>
      </c>
      <c r="S99" s="445"/>
      <c r="T99" s="416"/>
      <c r="U99" s="40"/>
    </row>
    <row r="100" spans="1:21" ht="15.75" customHeight="1">
      <c r="A100" s="6"/>
      <c r="B100" s="55">
        <v>200</v>
      </c>
      <c r="C100" s="913">
        <v>500</v>
      </c>
      <c r="D100" s="1446"/>
      <c r="E100" s="1256"/>
      <c r="F100" s="1240"/>
      <c r="G100" s="509" t="s">
        <v>1063</v>
      </c>
      <c r="H100" s="1050" t="s">
        <v>1064</v>
      </c>
      <c r="I100" s="1075"/>
      <c r="J100" s="426"/>
      <c r="L100" s="1613">
        <v>5</v>
      </c>
      <c r="M100" s="1612">
        <v>10</v>
      </c>
      <c r="N100" s="1505"/>
      <c r="O100" s="1290"/>
      <c r="P100" s="1267"/>
      <c r="Q100" s="857" t="s">
        <v>11</v>
      </c>
      <c r="R100" s="858" t="s">
        <v>1265</v>
      </c>
      <c r="S100" s="1614"/>
      <c r="T100" s="416"/>
      <c r="U100" s="40"/>
    </row>
    <row r="101" spans="1:21" ht="15.75" customHeight="1">
      <c r="A101" s="6"/>
      <c r="B101" s="112"/>
      <c r="C101" s="1254" t="s">
        <v>182</v>
      </c>
      <c r="D101" s="1446"/>
      <c r="E101" s="1256"/>
      <c r="F101" s="1267"/>
      <c r="G101" s="1693" t="s">
        <v>322</v>
      </c>
      <c r="H101" s="2348" t="s">
        <v>323</v>
      </c>
      <c r="I101" s="2349"/>
      <c r="J101" s="427"/>
      <c r="L101" s="444">
        <v>2</v>
      </c>
      <c r="M101" s="1285">
        <v>5</v>
      </c>
      <c r="N101" s="1505"/>
      <c r="O101" s="1290"/>
      <c r="P101" s="1240"/>
      <c r="Q101" s="461" t="s">
        <v>11</v>
      </c>
      <c r="R101" s="1611" t="s">
        <v>1176</v>
      </c>
      <c r="S101" s="1244"/>
      <c r="T101" s="416"/>
      <c r="U101" s="40"/>
    </row>
    <row r="102" spans="1:21" ht="15.75" customHeight="1" thickBot="1">
      <c r="A102" s="6"/>
      <c r="B102" s="169"/>
      <c r="C102" s="1255" t="s">
        <v>182</v>
      </c>
      <c r="D102" s="1826"/>
      <c r="E102" s="1827"/>
      <c r="F102" s="1281"/>
      <c r="G102" s="1604" t="s">
        <v>322</v>
      </c>
      <c r="H102" s="2350" t="s">
        <v>324</v>
      </c>
      <c r="I102" s="2351"/>
      <c r="J102" s="428"/>
      <c r="L102" s="2385" t="s">
        <v>1395</v>
      </c>
      <c r="M102" s="2386"/>
      <c r="N102" s="1501"/>
      <c r="O102" s="1290"/>
      <c r="P102" s="1238"/>
      <c r="Q102" s="1768" t="s">
        <v>11</v>
      </c>
      <c r="R102" s="1769" t="s">
        <v>1369</v>
      </c>
      <c r="S102" s="1770" t="s">
        <v>1368</v>
      </c>
    </row>
    <row r="103" spans="1:21" ht="15.75" customHeight="1" thickBot="1">
      <c r="A103" s="6"/>
      <c r="B103" s="40"/>
      <c r="C103" s="40"/>
      <c r="D103" s="40"/>
      <c r="E103" s="40"/>
      <c r="F103" s="536"/>
      <c r="G103" s="40"/>
      <c r="H103" s="40"/>
      <c r="I103" s="40"/>
      <c r="L103" s="1605">
        <v>1</v>
      </c>
      <c r="M103" s="168">
        <v>5</v>
      </c>
      <c r="N103" s="1503"/>
      <c r="O103" s="1290"/>
      <c r="P103" s="1606"/>
      <c r="Q103" s="459" t="s">
        <v>11</v>
      </c>
      <c r="R103" s="1734" t="s">
        <v>944</v>
      </c>
      <c r="S103" s="1607">
        <v>4273</v>
      </c>
    </row>
    <row r="104" spans="1:21" ht="15.75" customHeight="1" thickBot="1">
      <c r="A104" s="6"/>
      <c r="B104" s="1912" t="s">
        <v>640</v>
      </c>
      <c r="C104" s="1913"/>
      <c r="D104" s="2329" t="s">
        <v>1174</v>
      </c>
      <c r="E104" s="61"/>
      <c r="F104" s="1938" t="s">
        <v>478</v>
      </c>
      <c r="G104" s="1971"/>
      <c r="H104" s="1004" t="s">
        <v>279</v>
      </c>
      <c r="I104" s="1005"/>
      <c r="J104" s="167" t="s">
        <v>482</v>
      </c>
      <c r="K104" s="40"/>
      <c r="L104" s="1615"/>
      <c r="M104" s="1616" t="s">
        <v>1112</v>
      </c>
      <c r="N104" s="1610"/>
      <c r="O104" s="1608"/>
      <c r="P104" s="1609"/>
      <c r="Q104" s="1670" t="s">
        <v>1262</v>
      </c>
      <c r="R104" s="1671" t="s">
        <v>1263</v>
      </c>
      <c r="S104" s="1672"/>
    </row>
    <row r="105" spans="1:21" ht="16.5" thickBot="1">
      <c r="A105" s="6"/>
      <c r="B105" s="28" t="s">
        <v>5</v>
      </c>
      <c r="C105" s="912" t="s">
        <v>6</v>
      </c>
      <c r="D105" s="2330"/>
      <c r="E105" s="62"/>
      <c r="F105" s="2326"/>
      <c r="G105" s="1974"/>
      <c r="H105" s="660" t="s">
        <v>480</v>
      </c>
      <c r="I105" s="1006"/>
      <c r="J105" s="30"/>
      <c r="K105" s="40"/>
    </row>
    <row r="106" spans="1:21" ht="15.75" customHeight="1">
      <c r="B106" s="2417" t="s">
        <v>1396</v>
      </c>
      <c r="C106" s="2418"/>
      <c r="D106" s="1523"/>
      <c r="E106" s="62"/>
      <c r="F106" s="1266"/>
      <c r="G106" s="92" t="s">
        <v>584</v>
      </c>
      <c r="H106" s="507" t="s">
        <v>658</v>
      </c>
      <c r="I106" s="1007"/>
      <c r="J106" s="420"/>
      <c r="K106" s="1048"/>
      <c r="L106" s="1912" t="s">
        <v>640</v>
      </c>
      <c r="M106" s="1913"/>
      <c r="N106" s="2329" t="s">
        <v>1174</v>
      </c>
      <c r="O106" s="61"/>
      <c r="P106" s="1938" t="s">
        <v>481</v>
      </c>
      <c r="Q106" s="1971"/>
      <c r="R106" s="90" t="s">
        <v>279</v>
      </c>
      <c r="S106" s="167" t="s">
        <v>482</v>
      </c>
    </row>
    <row r="107" spans="1:21" ht="15.75" customHeight="1">
      <c r="A107" s="6"/>
      <c r="B107" s="2419" t="s">
        <v>17</v>
      </c>
      <c r="C107" s="2420"/>
      <c r="D107" s="1524"/>
      <c r="E107" s="62"/>
      <c r="F107" s="1259"/>
      <c r="G107" s="257" t="s">
        <v>653</v>
      </c>
      <c r="H107" s="660" t="s">
        <v>652</v>
      </c>
      <c r="I107" s="1006"/>
      <c r="J107" s="183"/>
      <c r="K107" s="40"/>
      <c r="L107" s="28" t="s">
        <v>5</v>
      </c>
      <c r="M107" s="912" t="s">
        <v>6</v>
      </c>
      <c r="N107" s="2330"/>
      <c r="O107" s="62"/>
      <c r="P107" s="2326"/>
      <c r="Q107" s="1974"/>
      <c r="R107" s="401" t="s">
        <v>428</v>
      </c>
      <c r="S107" s="30"/>
    </row>
    <row r="108" spans="1:21" ht="15.75" customHeight="1">
      <c r="A108" s="6"/>
      <c r="B108" s="412" t="s">
        <v>9</v>
      </c>
      <c r="C108" s="1263">
        <v>1</v>
      </c>
      <c r="D108" s="1523"/>
      <c r="E108" s="62"/>
      <c r="F108" s="1266"/>
      <c r="G108" s="92" t="s">
        <v>144</v>
      </c>
      <c r="H108" s="507" t="s">
        <v>642</v>
      </c>
      <c r="I108" s="1007"/>
      <c r="J108" s="420"/>
      <c r="K108" s="40"/>
      <c r="L108" s="1857" t="s">
        <v>9</v>
      </c>
      <c r="M108" s="1263">
        <v>1</v>
      </c>
      <c r="N108" s="1732"/>
      <c r="O108" s="62"/>
      <c r="P108" s="1266"/>
      <c r="Q108" s="1854" t="s">
        <v>1402</v>
      </c>
      <c r="R108" s="1855" t="s">
        <v>1403</v>
      </c>
      <c r="S108" s="1856"/>
    </row>
    <row r="109" spans="1:21" ht="15.75" customHeight="1">
      <c r="A109" s="6"/>
      <c r="B109" s="2413" t="s">
        <v>1404</v>
      </c>
      <c r="C109" s="2414"/>
      <c r="D109" s="1525"/>
      <c r="E109" s="62"/>
      <c r="F109" s="1259"/>
      <c r="G109" s="162" t="s">
        <v>145</v>
      </c>
      <c r="H109" s="1008" t="s">
        <v>479</v>
      </c>
      <c r="I109" s="1009"/>
      <c r="J109" s="421"/>
      <c r="K109" s="40"/>
      <c r="L109" s="256" t="s">
        <v>9</v>
      </c>
      <c r="M109" s="1292">
        <v>1</v>
      </c>
      <c r="N109" s="1732"/>
      <c r="O109" s="62"/>
      <c r="P109" s="1294"/>
      <c r="Q109" s="224" t="s">
        <v>653</v>
      </c>
      <c r="R109" s="660" t="s">
        <v>1401</v>
      </c>
      <c r="S109" s="419"/>
    </row>
    <row r="110" spans="1:21" ht="15.75" customHeight="1">
      <c r="B110" s="2404" t="s">
        <v>1396</v>
      </c>
      <c r="C110" s="2405"/>
      <c r="D110" s="1496"/>
      <c r="E110" s="62"/>
      <c r="F110" s="1238"/>
      <c r="G110" s="358" t="s">
        <v>676</v>
      </c>
      <c r="H110" s="702" t="s">
        <v>657</v>
      </c>
      <c r="I110" s="1010"/>
      <c r="J110" s="422"/>
      <c r="K110" s="40"/>
      <c r="L110" s="412">
        <v>1</v>
      </c>
      <c r="M110" s="1263">
        <v>1</v>
      </c>
      <c r="N110" s="1733"/>
      <c r="O110" s="62"/>
      <c r="P110" s="1266"/>
      <c r="Q110" s="92" t="s">
        <v>144</v>
      </c>
      <c r="R110" s="932" t="s">
        <v>643</v>
      </c>
      <c r="S110" s="420"/>
    </row>
    <row r="111" spans="1:21" ht="15.75" customHeight="1">
      <c r="A111" s="6"/>
      <c r="B111" s="1924" t="s">
        <v>17</v>
      </c>
      <c r="C111" s="1925"/>
      <c r="D111" s="1497"/>
      <c r="E111" s="62"/>
      <c r="F111" s="1240"/>
      <c r="G111" s="479" t="s">
        <v>57</v>
      </c>
      <c r="H111" s="1011" t="s">
        <v>147</v>
      </c>
      <c r="I111" s="1012"/>
      <c r="J111" s="480"/>
      <c r="K111" s="40"/>
      <c r="L111" s="1897" t="s">
        <v>723</v>
      </c>
      <c r="M111" s="1896" t="s">
        <v>4</v>
      </c>
      <c r="N111" s="2360"/>
      <c r="O111" s="62"/>
      <c r="P111" s="2352"/>
      <c r="Q111" s="2354" t="s">
        <v>1089</v>
      </c>
      <c r="R111" s="2356" t="s">
        <v>479</v>
      </c>
      <c r="S111" s="2358"/>
      <c r="T111" s="40"/>
    </row>
    <row r="112" spans="1:21" ht="15.75" customHeight="1">
      <c r="A112" s="6"/>
      <c r="B112" s="1077">
        <v>1</v>
      </c>
      <c r="C112" s="1264">
        <v>3</v>
      </c>
      <c r="D112" s="1497"/>
      <c r="E112" s="62"/>
      <c r="F112" s="1267"/>
      <c r="G112" s="1078" t="s">
        <v>57</v>
      </c>
      <c r="H112" s="1008" t="s">
        <v>148</v>
      </c>
      <c r="I112" s="1106"/>
      <c r="J112" s="1107"/>
      <c r="K112" s="40"/>
      <c r="L112" s="1898" t="s">
        <v>1423</v>
      </c>
      <c r="M112" s="1895" t="s">
        <v>1424</v>
      </c>
      <c r="N112" s="2361"/>
      <c r="O112" s="62"/>
      <c r="P112" s="2353"/>
      <c r="Q112" s="2355"/>
      <c r="R112" s="2357"/>
      <c r="S112" s="2359"/>
      <c r="T112" s="40"/>
    </row>
    <row r="113" spans="1:22" ht="15.75" customHeight="1" thickBot="1">
      <c r="A113" s="6"/>
      <c r="B113" s="154">
        <v>1</v>
      </c>
      <c r="C113" s="1265">
        <v>2</v>
      </c>
      <c r="D113" s="1498"/>
      <c r="E113" s="81"/>
      <c r="F113" s="1268"/>
      <c r="G113" s="1076" t="s">
        <v>1050</v>
      </c>
      <c r="H113" s="1185" t="s">
        <v>1051</v>
      </c>
      <c r="I113" s="1183"/>
      <c r="J113" s="1184">
        <f>8186*2</f>
        <v>16372</v>
      </c>
      <c r="K113" s="40"/>
      <c r="L113" s="1613" t="s">
        <v>9</v>
      </c>
      <c r="M113" s="1612">
        <v>1</v>
      </c>
      <c r="N113" s="1503"/>
      <c r="O113" s="40"/>
      <c r="P113" s="1519"/>
      <c r="Q113" s="1093" t="s">
        <v>155</v>
      </c>
      <c r="R113" s="1094" t="s">
        <v>312</v>
      </c>
      <c r="S113" s="1095"/>
      <c r="T113" s="40"/>
    </row>
    <row r="114" spans="1:22" ht="15.75" customHeight="1" thickBot="1">
      <c r="A114" s="6"/>
      <c r="B114" s="1667"/>
      <c r="C114" s="54"/>
      <c r="D114" s="54"/>
      <c r="E114" s="54"/>
      <c r="F114" s="1668"/>
      <c r="G114" s="54"/>
      <c r="H114" s="54"/>
      <c r="I114" s="54"/>
      <c r="J114" s="1669"/>
      <c r="K114" s="40"/>
      <c r="L114" s="444">
        <v>1</v>
      </c>
      <c r="M114" s="1847">
        <v>3</v>
      </c>
      <c r="N114" s="1503"/>
      <c r="O114" s="40"/>
      <c r="P114" s="1850"/>
      <c r="Q114" s="1851" t="s">
        <v>1091</v>
      </c>
      <c r="R114" s="1852" t="s">
        <v>1405</v>
      </c>
      <c r="S114" s="1853"/>
      <c r="T114" s="40"/>
    </row>
    <row r="115" spans="1:22" ht="15" customHeight="1" thickBot="1">
      <c r="A115" s="6"/>
      <c r="B115" s="1046"/>
      <c r="C115" s="1520" t="s">
        <v>1112</v>
      </c>
      <c r="D115" s="1527"/>
      <c r="E115" s="180"/>
      <c r="F115" s="1664"/>
      <c r="G115" s="1665" t="s">
        <v>1116</v>
      </c>
      <c r="H115" s="1665" t="s">
        <v>1351</v>
      </c>
      <c r="I115" s="1665"/>
      <c r="J115" s="1666"/>
      <c r="K115" s="168"/>
      <c r="L115" s="1096" t="s">
        <v>182</v>
      </c>
      <c r="M115" s="1293" t="s">
        <v>10</v>
      </c>
      <c r="N115" s="1442"/>
      <c r="O115" s="81"/>
      <c r="P115" s="1517"/>
      <c r="Q115" s="1858" t="s">
        <v>1091</v>
      </c>
      <c r="R115" s="1108" t="s">
        <v>1092</v>
      </c>
      <c r="S115" s="1109"/>
      <c r="T115" s="40"/>
    </row>
    <row r="116" spans="1:22" ht="15.75" customHeight="1" thickBot="1">
      <c r="A116" s="6"/>
      <c r="B116" s="444"/>
      <c r="C116" s="1521" t="s">
        <v>1112</v>
      </c>
      <c r="D116" s="1528"/>
      <c r="E116" s="1290"/>
      <c r="F116" s="192"/>
      <c r="G116" s="142" t="s">
        <v>1116</v>
      </c>
      <c r="H116" s="142" t="s">
        <v>1349</v>
      </c>
      <c r="I116" s="142"/>
      <c r="J116" s="760"/>
      <c r="L116" s="1667"/>
      <c r="M116" s="54"/>
      <c r="N116" s="54"/>
      <c r="O116" s="54"/>
      <c r="P116" s="54"/>
      <c r="Q116" s="54"/>
      <c r="R116" s="54"/>
      <c r="S116" s="180"/>
      <c r="T116" s="1"/>
    </row>
    <row r="117" spans="1:22" ht="15.75" customHeight="1" thickBot="1">
      <c r="B117" s="311"/>
      <c r="C117" s="1522" t="s">
        <v>1112</v>
      </c>
      <c r="D117" s="1529"/>
      <c r="E117" s="1291"/>
      <c r="F117" s="1596"/>
      <c r="G117" s="1144" t="s">
        <v>1116</v>
      </c>
      <c r="H117" s="1144" t="s">
        <v>1350</v>
      </c>
      <c r="I117" s="1144"/>
      <c r="J117" s="949"/>
      <c r="L117" s="1912" t="s">
        <v>640</v>
      </c>
      <c r="M117" s="1916"/>
      <c r="N117" s="1914" t="s">
        <v>1198</v>
      </c>
      <c r="O117" s="61"/>
      <c r="P117" s="2399" t="s">
        <v>1373</v>
      </c>
      <c r="Q117" s="2400"/>
      <c r="R117" s="90" t="s">
        <v>1374</v>
      </c>
      <c r="S117" s="167" t="s">
        <v>482</v>
      </c>
      <c r="T117" s="40"/>
    </row>
    <row r="118" spans="1:22" ht="15.75" customHeight="1" thickBot="1">
      <c r="L118" s="1793" t="s">
        <v>5</v>
      </c>
      <c r="M118" s="1794" t="s">
        <v>6</v>
      </c>
      <c r="N118" s="2142"/>
      <c r="O118" s="81"/>
      <c r="P118" s="2401"/>
      <c r="Q118" s="2402"/>
      <c r="R118" s="1795" t="s">
        <v>1375</v>
      </c>
      <c r="S118" s="1796"/>
      <c r="T118" s="40"/>
    </row>
    <row r="119" spans="1:22" ht="15.75" customHeight="1">
      <c r="L119" s="1046"/>
      <c r="M119" s="1520" t="s">
        <v>1112</v>
      </c>
      <c r="N119" s="1797"/>
      <c r="O119" s="1798"/>
      <c r="P119" s="1906" t="s">
        <v>1376</v>
      </c>
      <c r="Q119" s="1907" t="s">
        <v>1377</v>
      </c>
      <c r="R119" s="1908"/>
      <c r="S119" s="1909"/>
      <c r="T119" s="40"/>
    </row>
    <row r="120" spans="1:22" ht="15.75" customHeight="1">
      <c r="A120" s="6"/>
      <c r="L120" s="950"/>
      <c r="M120" s="1521" t="s">
        <v>1112</v>
      </c>
      <c r="N120" s="1799"/>
      <c r="O120" s="1048"/>
      <c r="P120" s="1828" t="s">
        <v>1376</v>
      </c>
      <c r="Q120" s="191" t="s">
        <v>1426</v>
      </c>
      <c r="R120" s="1829"/>
      <c r="S120" s="1830"/>
      <c r="T120" s="40"/>
    </row>
    <row r="121" spans="1:22" ht="15.75" customHeight="1">
      <c r="A121" s="6"/>
      <c r="L121" s="444"/>
      <c r="M121" s="1521" t="s">
        <v>1112</v>
      </c>
      <c r="N121" s="1799"/>
      <c r="O121" s="1048"/>
      <c r="P121" s="1859" t="s">
        <v>11</v>
      </c>
      <c r="Q121" s="1598" t="s">
        <v>421</v>
      </c>
      <c r="R121" s="1860"/>
      <c r="S121" s="1861"/>
      <c r="T121" s="40"/>
    </row>
    <row r="122" spans="1:22" ht="15.75" customHeight="1">
      <c r="A122" s="6"/>
      <c r="L122" s="950"/>
      <c r="M122" s="1803" t="s">
        <v>1112</v>
      </c>
      <c r="N122" s="1799"/>
      <c r="O122" s="1048"/>
      <c r="P122" s="1828" t="s">
        <v>1397</v>
      </c>
      <c r="Q122" s="191" t="s">
        <v>1398</v>
      </c>
      <c r="R122" s="1829"/>
      <c r="S122" s="1830"/>
      <c r="T122" s="40"/>
    </row>
    <row r="123" spans="1:22" ht="15.75" customHeight="1">
      <c r="A123" s="6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950"/>
      <c r="M123" s="1803" t="s">
        <v>1112</v>
      </c>
      <c r="N123" s="1799"/>
      <c r="O123" s="1048"/>
      <c r="P123" s="1807" t="s">
        <v>1116</v>
      </c>
      <c r="Q123" s="1800" t="s">
        <v>1407</v>
      </c>
      <c r="R123" s="1801"/>
      <c r="S123" s="1802"/>
      <c r="T123" s="40"/>
    </row>
    <row r="124" spans="1:22" ht="15.75" customHeight="1">
      <c r="A124" s="6"/>
      <c r="J124" s="1"/>
      <c r="L124" s="950"/>
      <c r="M124" s="1803" t="s">
        <v>1112</v>
      </c>
      <c r="N124" s="1799"/>
      <c r="O124" s="1048"/>
      <c r="P124" s="1808" t="s">
        <v>1116</v>
      </c>
      <c r="Q124" s="746" t="s">
        <v>1406</v>
      </c>
      <c r="R124" s="1048"/>
      <c r="S124" s="1804"/>
      <c r="T124" s="40"/>
      <c r="U124" s="40"/>
    </row>
    <row r="125" spans="1:22" ht="15.75" customHeight="1">
      <c r="A125" s="6"/>
      <c r="B125" s="40"/>
      <c r="C125" s="40"/>
      <c r="D125" s="40"/>
      <c r="E125" s="40"/>
      <c r="F125" s="40"/>
      <c r="G125" s="40"/>
      <c r="H125" s="40"/>
      <c r="I125" s="40"/>
      <c r="J125" s="1"/>
      <c r="L125" s="444"/>
      <c r="M125" s="1521" t="s">
        <v>1112</v>
      </c>
      <c r="N125" s="1528"/>
      <c r="O125" s="1805"/>
      <c r="P125" s="767" t="s">
        <v>1116</v>
      </c>
      <c r="Q125" s="235" t="s">
        <v>1113</v>
      </c>
      <c r="R125" s="235"/>
      <c r="S125" s="2395" t="s">
        <v>1048</v>
      </c>
      <c r="T125" s="40"/>
      <c r="U125" s="40"/>
      <c r="V125" s="40"/>
    </row>
    <row r="126" spans="1:22" ht="15.75" customHeight="1">
      <c r="A126" s="6"/>
      <c r="B126" s="40"/>
      <c r="C126" s="40"/>
      <c r="D126" s="40"/>
      <c r="E126" s="40"/>
      <c r="F126" s="40"/>
      <c r="G126" s="40"/>
      <c r="H126" s="40"/>
      <c r="I126" s="40"/>
      <c r="J126" s="1"/>
      <c r="L126" s="444"/>
      <c r="M126" s="1521" t="s">
        <v>1112</v>
      </c>
      <c r="N126" s="1528"/>
      <c r="O126" s="1805"/>
      <c r="P126" s="757" t="s">
        <v>1116</v>
      </c>
      <c r="Q126" s="142" t="s">
        <v>1114</v>
      </c>
      <c r="R126" s="142"/>
      <c r="S126" s="2396"/>
      <c r="T126" s="3"/>
      <c r="U126" s="40"/>
      <c r="V126" s="40"/>
    </row>
    <row r="127" spans="1:22" ht="15.75" customHeight="1" thickBot="1">
      <c r="A127" s="6"/>
      <c r="J127" s="1"/>
      <c r="L127" s="311"/>
      <c r="M127" s="1522" t="s">
        <v>1112</v>
      </c>
      <c r="N127" s="1529"/>
      <c r="O127" s="1806"/>
      <c r="P127" s="1809" t="s">
        <v>1116</v>
      </c>
      <c r="Q127" s="1144" t="s">
        <v>1115</v>
      </c>
      <c r="R127" s="1144"/>
      <c r="S127" s="2397"/>
      <c r="T127" s="1"/>
      <c r="U127" s="40"/>
      <c r="V127" s="40"/>
    </row>
    <row r="128" spans="1:22" ht="15.75" customHeight="1">
      <c r="A128" s="6"/>
      <c r="J128" s="1"/>
      <c r="P128" s="40"/>
      <c r="Q128" s="214"/>
      <c r="R128" s="40"/>
      <c r="S128" s="40"/>
      <c r="T128" s="1"/>
      <c r="V128" s="40"/>
    </row>
    <row r="129" spans="1:22" ht="15.75" customHeight="1">
      <c r="A129" s="6"/>
      <c r="J129" s="1"/>
      <c r="L129" s="1"/>
      <c r="P129" s="1"/>
      <c r="S129" s="1"/>
      <c r="T129" s="1"/>
      <c r="V129" s="40"/>
    </row>
    <row r="130" spans="1:22" ht="15.75" customHeight="1">
      <c r="A130" s="6"/>
      <c r="J130" s="1"/>
      <c r="L130" s="1"/>
      <c r="P130" s="1"/>
      <c r="S130" s="1"/>
      <c r="T130" s="1"/>
    </row>
    <row r="131" spans="1:22" ht="15.75" customHeight="1">
      <c r="A131" s="6"/>
      <c r="J131" s="1"/>
      <c r="L131" s="1"/>
      <c r="P131" s="1"/>
      <c r="S131" s="1"/>
      <c r="T131" s="1"/>
    </row>
    <row r="132" spans="1:22" ht="15.75" customHeight="1">
      <c r="A132" s="6"/>
      <c r="J132" s="1"/>
      <c r="L132" s="1"/>
      <c r="P132" s="1"/>
      <c r="S132" s="1"/>
      <c r="T132" s="1"/>
    </row>
    <row r="133" spans="1:22" ht="15.75" customHeight="1">
      <c r="A133" s="6"/>
      <c r="J133" s="1"/>
      <c r="L133" s="1"/>
      <c r="P133" s="1"/>
      <c r="S133" s="1"/>
      <c r="T133" s="1"/>
    </row>
    <row r="134" spans="1:22" ht="15.75" customHeight="1">
      <c r="A134" s="6"/>
      <c r="J134" s="1"/>
      <c r="L134" s="1"/>
      <c r="P134" s="1"/>
      <c r="S134" s="1"/>
      <c r="T134" s="1"/>
    </row>
    <row r="135" spans="1:22" ht="15.75" customHeight="1">
      <c r="A135" s="6"/>
      <c r="J135" s="1"/>
      <c r="L135" s="1"/>
      <c r="P135" s="1"/>
      <c r="S135" s="1"/>
      <c r="T135" s="1"/>
    </row>
    <row r="136" spans="1:22" ht="15.75" customHeight="1">
      <c r="A136" s="6"/>
      <c r="J136" s="1"/>
      <c r="L136" s="1"/>
      <c r="P136" s="1"/>
      <c r="S136" s="1"/>
      <c r="T136" s="1"/>
    </row>
    <row r="137" spans="1:22" ht="15.75" customHeight="1">
      <c r="A137" s="6"/>
      <c r="J137" s="1"/>
      <c r="L137" s="1"/>
      <c r="P137" s="1"/>
      <c r="S137" s="1"/>
      <c r="T137" s="1"/>
    </row>
    <row r="138" spans="1:22" ht="15.75" customHeight="1">
      <c r="A138" s="6"/>
      <c r="J138" s="1"/>
      <c r="L138" s="1"/>
      <c r="P138" s="1"/>
      <c r="S138" s="1"/>
      <c r="T138" s="1"/>
    </row>
    <row r="139" spans="1:22" ht="15.75" customHeight="1">
      <c r="A139" s="6"/>
      <c r="L139" s="1"/>
      <c r="P139" s="1"/>
      <c r="S139" s="1"/>
      <c r="T139" s="1"/>
    </row>
    <row r="140" spans="1:22" ht="15.75" customHeight="1">
      <c r="A140" s="6"/>
      <c r="L140" s="1"/>
      <c r="P140" s="1"/>
      <c r="S140" s="1"/>
      <c r="T140" s="1"/>
    </row>
    <row r="141" spans="1:22" ht="15.75" customHeight="1">
      <c r="A141" s="6"/>
      <c r="L141" s="1"/>
      <c r="P141" s="1"/>
      <c r="S141" s="1"/>
      <c r="T141" s="1"/>
    </row>
    <row r="142" spans="1:22" ht="15.75" customHeight="1">
      <c r="A142" s="6"/>
      <c r="L142" s="1"/>
      <c r="P142" s="1"/>
      <c r="S142" s="1"/>
    </row>
    <row r="143" spans="1:22" ht="15.75" customHeight="1">
      <c r="A143" s="6"/>
      <c r="L143" s="1"/>
      <c r="P143" s="1"/>
      <c r="S143" s="1"/>
    </row>
    <row r="144" spans="1:22" ht="15.75" customHeight="1">
      <c r="A144" s="6"/>
      <c r="L144" s="20"/>
      <c r="M144" s="6"/>
      <c r="N144" s="6"/>
      <c r="O144" s="6"/>
      <c r="P144" s="20"/>
      <c r="Q144" s="6"/>
      <c r="R144" s="6"/>
      <c r="S144" s="20"/>
    </row>
    <row r="145" spans="1:19" ht="15.75" customHeight="1">
      <c r="A145" s="6"/>
      <c r="L145" s="20"/>
      <c r="M145" s="6"/>
      <c r="N145" s="6"/>
      <c r="O145" s="6"/>
      <c r="P145" s="20"/>
      <c r="Q145" s="6"/>
      <c r="R145" s="6"/>
      <c r="S145" s="20"/>
    </row>
    <row r="146" spans="1:19" ht="15.75" customHeight="1">
      <c r="A146" s="6"/>
      <c r="L146" s="20"/>
      <c r="M146" s="6"/>
      <c r="N146" s="6"/>
      <c r="O146" s="6"/>
      <c r="P146" s="20"/>
      <c r="Q146" s="6"/>
      <c r="R146" s="6"/>
      <c r="S146" s="20"/>
    </row>
    <row r="147" spans="1:19" ht="15.75" customHeight="1">
      <c r="A147" s="6"/>
      <c r="L147" s="20"/>
      <c r="M147" s="6"/>
      <c r="N147" s="6"/>
      <c r="O147" s="6"/>
      <c r="P147" s="20"/>
      <c r="Q147" s="6"/>
      <c r="R147" s="6"/>
      <c r="S147" s="20"/>
    </row>
    <row r="148" spans="1:19" ht="15.75" customHeight="1">
      <c r="A148" s="6"/>
      <c r="L148" s="20"/>
      <c r="M148" s="6"/>
      <c r="N148" s="6"/>
      <c r="O148" s="6"/>
      <c r="P148" s="20"/>
      <c r="Q148" s="6"/>
      <c r="R148" s="6"/>
      <c r="S148" s="20"/>
    </row>
    <row r="149" spans="1:19" ht="15.75" customHeight="1">
      <c r="A149" s="6"/>
      <c r="L149" s="20"/>
      <c r="M149" s="6"/>
      <c r="N149" s="6"/>
      <c r="O149" s="6"/>
      <c r="P149" s="20"/>
      <c r="Q149" s="6"/>
      <c r="R149" s="6"/>
      <c r="S149" s="20"/>
    </row>
    <row r="150" spans="1:19" ht="15.75" customHeight="1">
      <c r="A150" s="6"/>
      <c r="B150" s="6"/>
      <c r="C150" s="6"/>
      <c r="D150" s="6"/>
      <c r="E150" s="6"/>
      <c r="F150" s="537"/>
      <c r="G150" s="6"/>
      <c r="H150" s="6"/>
      <c r="I150" s="6"/>
      <c r="J150" s="20"/>
      <c r="L150" s="20"/>
      <c r="M150" s="6"/>
      <c r="N150" s="6"/>
      <c r="O150" s="6"/>
      <c r="P150" s="20"/>
      <c r="Q150" s="6"/>
      <c r="R150" s="6"/>
      <c r="S150" s="20"/>
    </row>
    <row r="151" spans="1:19" ht="15.75" customHeight="1">
      <c r="A151" s="6"/>
      <c r="B151" s="6"/>
      <c r="C151" s="6"/>
      <c r="D151" s="6"/>
      <c r="E151" s="6"/>
      <c r="F151" s="537"/>
      <c r="G151" s="6"/>
      <c r="H151" s="6"/>
      <c r="I151" s="6"/>
      <c r="J151" s="20"/>
      <c r="L151" s="20"/>
      <c r="M151" s="6"/>
      <c r="N151" s="6"/>
      <c r="O151" s="6"/>
      <c r="P151" s="20"/>
      <c r="Q151" s="6"/>
      <c r="R151" s="6"/>
      <c r="S151" s="20"/>
    </row>
    <row r="152" spans="1:19" ht="15.75" customHeight="1">
      <c r="A152" s="6"/>
      <c r="B152" s="6"/>
      <c r="C152" s="6"/>
      <c r="D152" s="6"/>
      <c r="E152" s="6"/>
      <c r="F152" s="537"/>
      <c r="G152" s="6"/>
      <c r="H152" s="6"/>
      <c r="I152" s="6"/>
      <c r="J152" s="20"/>
      <c r="L152" s="20"/>
      <c r="M152" s="6"/>
      <c r="N152" s="6"/>
      <c r="O152" s="6"/>
      <c r="P152" s="20"/>
      <c r="Q152" s="6"/>
      <c r="R152" s="6"/>
      <c r="S152" s="20"/>
    </row>
    <row r="153" spans="1:19" ht="15.75" customHeight="1">
      <c r="A153" s="6"/>
      <c r="B153" s="6"/>
      <c r="C153" s="6"/>
      <c r="D153" s="6"/>
      <c r="E153" s="6"/>
      <c r="F153" s="537"/>
      <c r="G153" s="6"/>
      <c r="H153" s="6"/>
      <c r="I153" s="6"/>
      <c r="J153" s="20"/>
      <c r="L153" s="20"/>
      <c r="M153" s="6"/>
      <c r="N153" s="6"/>
      <c r="O153" s="6"/>
      <c r="P153" s="20"/>
      <c r="Q153" s="6"/>
      <c r="R153" s="6"/>
      <c r="S153" s="20"/>
    </row>
    <row r="154" spans="1:19" ht="15.75" customHeight="1">
      <c r="A154" s="6"/>
      <c r="B154" s="6"/>
      <c r="C154" s="6"/>
      <c r="D154" s="6"/>
      <c r="E154" s="6"/>
      <c r="F154" s="537"/>
      <c r="G154" s="6"/>
      <c r="H154" s="6"/>
      <c r="I154" s="6"/>
      <c r="J154" s="20"/>
      <c r="L154" s="20"/>
      <c r="M154" s="6"/>
      <c r="N154" s="6"/>
      <c r="O154" s="6"/>
      <c r="P154" s="20"/>
      <c r="Q154" s="6"/>
      <c r="R154" s="6"/>
      <c r="S154" s="20"/>
    </row>
    <row r="155" spans="1:19" ht="15.75" customHeight="1">
      <c r="A155" s="6"/>
      <c r="B155" s="6"/>
      <c r="C155" s="6"/>
      <c r="D155" s="6"/>
      <c r="E155" s="6"/>
      <c r="F155" s="537"/>
      <c r="G155" s="6"/>
      <c r="H155" s="6"/>
      <c r="I155" s="6"/>
      <c r="J155" s="20"/>
      <c r="L155" s="20"/>
      <c r="M155" s="6"/>
      <c r="N155" s="6"/>
      <c r="O155" s="6"/>
      <c r="P155" s="20"/>
      <c r="Q155" s="6"/>
      <c r="R155" s="6"/>
      <c r="S155" s="20"/>
    </row>
    <row r="156" spans="1:19" ht="15.75" customHeight="1">
      <c r="A156" s="6"/>
      <c r="B156" s="6"/>
      <c r="C156" s="6"/>
      <c r="D156" s="6"/>
      <c r="E156" s="6"/>
      <c r="F156" s="537"/>
      <c r="G156" s="6"/>
      <c r="H156" s="6"/>
      <c r="I156" s="6"/>
      <c r="J156" s="20"/>
      <c r="L156" s="20"/>
      <c r="M156" s="6"/>
      <c r="N156" s="6"/>
      <c r="O156" s="6"/>
      <c r="P156" s="20"/>
      <c r="Q156" s="6"/>
      <c r="R156" s="6"/>
      <c r="S156" s="20"/>
    </row>
    <row r="157" spans="1:19" ht="15.75" customHeight="1">
      <c r="A157" s="6"/>
      <c r="B157" s="6"/>
      <c r="C157" s="6"/>
      <c r="D157" s="6"/>
      <c r="E157" s="6"/>
      <c r="F157" s="537"/>
      <c r="G157" s="6"/>
      <c r="H157" s="6"/>
      <c r="I157" s="6"/>
      <c r="J157" s="20"/>
      <c r="L157" s="20"/>
      <c r="M157" s="6"/>
      <c r="N157" s="6"/>
      <c r="O157" s="6"/>
      <c r="P157" s="20"/>
      <c r="Q157" s="6"/>
      <c r="R157" s="6"/>
      <c r="S157" s="20"/>
    </row>
    <row r="158" spans="1:19" ht="15.75" customHeight="1">
      <c r="A158" s="6"/>
      <c r="B158" s="6"/>
      <c r="C158" s="6"/>
      <c r="D158" s="6"/>
      <c r="E158" s="6"/>
      <c r="F158" s="537"/>
      <c r="G158" s="6"/>
      <c r="H158" s="6"/>
      <c r="I158" s="6"/>
      <c r="J158" s="20"/>
      <c r="L158" s="20"/>
      <c r="M158" s="6"/>
      <c r="N158" s="6"/>
      <c r="O158" s="6"/>
      <c r="P158" s="20"/>
      <c r="Q158" s="6"/>
      <c r="R158" s="6"/>
      <c r="S158" s="20"/>
    </row>
    <row r="159" spans="1:19" ht="15.75" customHeight="1">
      <c r="A159" s="6"/>
      <c r="B159" s="6"/>
      <c r="C159" s="6"/>
      <c r="D159" s="6"/>
      <c r="E159" s="6"/>
      <c r="F159" s="537"/>
      <c r="G159" s="6"/>
      <c r="H159" s="6"/>
      <c r="I159" s="6"/>
      <c r="J159" s="20"/>
      <c r="L159" s="20"/>
      <c r="M159" s="6"/>
      <c r="N159" s="6"/>
      <c r="O159" s="6"/>
      <c r="P159" s="20"/>
      <c r="Q159" s="6"/>
      <c r="R159" s="6"/>
      <c r="S159" s="20"/>
    </row>
    <row r="160" spans="1:19" ht="15.75" customHeight="1">
      <c r="A160" s="6"/>
      <c r="B160" s="6"/>
      <c r="C160" s="6"/>
      <c r="D160" s="6"/>
      <c r="E160" s="6"/>
      <c r="F160" s="537"/>
      <c r="G160" s="6"/>
      <c r="H160" s="6"/>
      <c r="I160" s="6"/>
      <c r="J160" s="20"/>
      <c r="L160" s="20"/>
      <c r="M160" s="6"/>
      <c r="N160" s="6"/>
      <c r="O160" s="6"/>
      <c r="P160" s="20"/>
      <c r="Q160" s="6"/>
      <c r="R160" s="6"/>
      <c r="S160" s="20"/>
    </row>
    <row r="161" spans="1:19" ht="15.75" customHeight="1">
      <c r="A161" s="6"/>
      <c r="B161" s="6"/>
      <c r="C161" s="6"/>
      <c r="D161" s="6"/>
      <c r="E161" s="6"/>
      <c r="F161" s="537"/>
      <c r="G161" s="6"/>
      <c r="H161" s="6"/>
      <c r="I161" s="6"/>
      <c r="J161" s="20"/>
      <c r="L161" s="20"/>
      <c r="M161" s="6"/>
      <c r="N161" s="6"/>
      <c r="O161" s="6"/>
      <c r="P161" s="20"/>
      <c r="Q161" s="6"/>
      <c r="R161" s="6"/>
      <c r="S161" s="20"/>
    </row>
    <row r="162" spans="1:19" ht="15.75" customHeight="1">
      <c r="A162" s="6"/>
      <c r="B162" s="6"/>
      <c r="C162" s="6"/>
      <c r="D162" s="6"/>
      <c r="E162" s="6"/>
      <c r="F162" s="537"/>
      <c r="G162" s="6"/>
      <c r="H162" s="6"/>
      <c r="I162" s="6"/>
      <c r="J162" s="20"/>
      <c r="L162" s="20"/>
      <c r="M162" s="6"/>
      <c r="N162" s="6"/>
      <c r="O162" s="6"/>
      <c r="P162" s="20"/>
      <c r="Q162" s="6"/>
      <c r="R162" s="6"/>
      <c r="S162" s="20"/>
    </row>
    <row r="163" spans="1:19" ht="15.75" customHeight="1">
      <c r="A163" s="6"/>
      <c r="B163" s="6"/>
      <c r="C163" s="6"/>
      <c r="D163" s="6"/>
      <c r="E163" s="6"/>
      <c r="F163" s="537"/>
      <c r="G163" s="6"/>
      <c r="H163" s="6"/>
      <c r="I163" s="6"/>
      <c r="J163" s="20"/>
      <c r="L163" s="20"/>
      <c r="M163" s="6"/>
      <c r="N163" s="6"/>
      <c r="O163" s="6"/>
      <c r="P163" s="20"/>
      <c r="Q163" s="6"/>
      <c r="R163" s="6"/>
      <c r="S163" s="20"/>
    </row>
    <row r="164" spans="1:19" ht="15.75" customHeight="1">
      <c r="A164" s="6"/>
      <c r="B164" s="6"/>
      <c r="C164" s="6"/>
      <c r="D164" s="6"/>
      <c r="E164" s="6"/>
      <c r="F164" s="537"/>
      <c r="G164" s="6"/>
      <c r="H164" s="6"/>
      <c r="I164" s="6"/>
      <c r="J164" s="20"/>
      <c r="L164" s="20"/>
      <c r="M164" s="6"/>
      <c r="N164" s="6"/>
      <c r="O164" s="6"/>
      <c r="P164" s="20"/>
      <c r="Q164" s="6"/>
      <c r="R164" s="6"/>
      <c r="S164" s="20"/>
    </row>
    <row r="165" spans="1:19" ht="15.75" customHeight="1">
      <c r="A165" s="6"/>
      <c r="B165" s="6"/>
      <c r="C165" s="6"/>
      <c r="D165" s="6"/>
      <c r="E165" s="6"/>
      <c r="F165" s="537"/>
      <c r="G165" s="6"/>
      <c r="H165" s="6"/>
      <c r="I165" s="6"/>
      <c r="J165" s="20"/>
      <c r="L165" s="20"/>
      <c r="M165" s="6"/>
      <c r="N165" s="6"/>
      <c r="O165" s="6"/>
      <c r="P165" s="20"/>
      <c r="Q165" s="6"/>
      <c r="R165" s="6"/>
      <c r="S165" s="20"/>
    </row>
    <row r="166" spans="1:19" ht="15.75" customHeight="1">
      <c r="A166" s="6"/>
      <c r="B166" s="6"/>
      <c r="C166" s="6"/>
      <c r="D166" s="6"/>
      <c r="E166" s="6"/>
      <c r="F166" s="537"/>
      <c r="G166" s="6"/>
      <c r="H166" s="6"/>
      <c r="I166" s="6"/>
      <c r="J166" s="20"/>
      <c r="L166" s="20"/>
      <c r="M166" s="6"/>
      <c r="N166" s="6"/>
      <c r="O166" s="6"/>
      <c r="P166" s="20"/>
      <c r="Q166" s="6"/>
      <c r="R166" s="6"/>
      <c r="S166" s="20"/>
    </row>
    <row r="167" spans="1:19" ht="15.75" customHeight="1">
      <c r="A167" s="6"/>
      <c r="B167" s="6"/>
      <c r="C167" s="6"/>
      <c r="D167" s="6"/>
      <c r="E167" s="6"/>
      <c r="F167" s="537"/>
      <c r="G167" s="6"/>
      <c r="H167" s="6"/>
      <c r="I167" s="6"/>
      <c r="J167" s="20"/>
      <c r="L167" s="20"/>
      <c r="M167" s="6"/>
      <c r="N167" s="6"/>
      <c r="O167" s="6"/>
      <c r="P167" s="20"/>
      <c r="Q167" s="6"/>
      <c r="R167" s="6"/>
      <c r="S167" s="20"/>
    </row>
    <row r="168" spans="1:19" ht="15.75" customHeight="1">
      <c r="A168" s="6"/>
      <c r="B168" s="6"/>
      <c r="C168" s="6"/>
      <c r="D168" s="6"/>
      <c r="E168" s="6"/>
      <c r="F168" s="537"/>
      <c r="G168" s="6"/>
      <c r="H168" s="6"/>
      <c r="I168" s="6"/>
      <c r="J168" s="20"/>
      <c r="L168" s="20"/>
      <c r="M168" s="6"/>
      <c r="N168" s="6"/>
      <c r="O168" s="6"/>
      <c r="P168" s="20"/>
      <c r="Q168" s="6"/>
      <c r="R168" s="6"/>
      <c r="S168" s="20"/>
    </row>
    <row r="169" spans="1:19" ht="15.75" customHeight="1">
      <c r="A169" s="6"/>
      <c r="B169" s="6"/>
      <c r="C169" s="6"/>
      <c r="D169" s="6"/>
      <c r="E169" s="6"/>
      <c r="F169" s="537"/>
      <c r="G169" s="6"/>
      <c r="H169" s="6"/>
      <c r="I169" s="6"/>
      <c r="J169" s="20"/>
      <c r="L169" s="20"/>
      <c r="M169" s="6"/>
      <c r="N169" s="6"/>
      <c r="O169" s="6"/>
      <c r="P169" s="20"/>
      <c r="Q169" s="6"/>
      <c r="R169" s="6"/>
      <c r="S169" s="20"/>
    </row>
    <row r="170" spans="1:19" ht="15.75" customHeight="1">
      <c r="A170" s="6"/>
      <c r="B170" s="6"/>
      <c r="C170" s="6"/>
      <c r="D170" s="6"/>
      <c r="E170" s="6"/>
      <c r="F170" s="537"/>
      <c r="G170" s="6"/>
      <c r="H170" s="6"/>
      <c r="I170" s="6"/>
      <c r="J170" s="20"/>
      <c r="L170" s="20"/>
      <c r="M170" s="6"/>
      <c r="N170" s="6"/>
      <c r="O170" s="6"/>
      <c r="P170" s="20"/>
      <c r="Q170" s="6"/>
      <c r="R170" s="6"/>
      <c r="S170" s="20"/>
    </row>
    <row r="171" spans="1:19" ht="15.75" customHeight="1">
      <c r="A171" s="6"/>
      <c r="B171" s="6"/>
      <c r="C171" s="6"/>
      <c r="D171" s="6"/>
      <c r="E171" s="6"/>
      <c r="F171" s="537"/>
      <c r="G171" s="6"/>
      <c r="H171" s="6"/>
      <c r="I171" s="6"/>
      <c r="J171" s="20"/>
      <c r="L171" s="20"/>
      <c r="M171" s="6"/>
      <c r="N171" s="6"/>
      <c r="O171" s="6"/>
      <c r="P171" s="20"/>
      <c r="Q171" s="6"/>
      <c r="R171" s="6"/>
      <c r="S171" s="20"/>
    </row>
    <row r="172" spans="1:19" ht="15.75" customHeight="1">
      <c r="A172" s="6"/>
      <c r="B172" s="6"/>
      <c r="C172" s="6"/>
      <c r="D172" s="6"/>
      <c r="E172" s="6"/>
      <c r="F172" s="537"/>
      <c r="G172" s="6"/>
      <c r="H172" s="6"/>
      <c r="I172" s="6"/>
      <c r="J172" s="20"/>
      <c r="L172" s="20"/>
      <c r="M172" s="6"/>
      <c r="N172" s="6"/>
      <c r="O172" s="6"/>
      <c r="P172" s="20"/>
      <c r="Q172" s="6"/>
      <c r="R172" s="6"/>
      <c r="S172" s="20"/>
    </row>
    <row r="173" spans="1:19" ht="15.75" customHeight="1">
      <c r="A173" s="6"/>
      <c r="B173" s="6"/>
      <c r="C173" s="6"/>
      <c r="D173" s="6"/>
      <c r="E173" s="6"/>
      <c r="F173" s="537"/>
      <c r="G173" s="6"/>
      <c r="H173" s="6"/>
      <c r="I173" s="6"/>
      <c r="J173" s="20"/>
      <c r="L173" s="20"/>
      <c r="M173" s="6"/>
      <c r="N173" s="6"/>
      <c r="O173" s="6"/>
      <c r="P173" s="20"/>
      <c r="Q173" s="6"/>
      <c r="R173" s="6"/>
      <c r="S173" s="20"/>
    </row>
    <row r="174" spans="1:19" ht="15.75" customHeight="1">
      <c r="A174" s="6"/>
      <c r="B174" s="6"/>
      <c r="C174" s="6"/>
      <c r="D174" s="6"/>
      <c r="E174" s="6"/>
      <c r="F174" s="537"/>
      <c r="G174" s="6"/>
      <c r="H174" s="6"/>
      <c r="I174" s="6"/>
      <c r="J174" s="20"/>
      <c r="L174" s="20"/>
      <c r="M174" s="6"/>
      <c r="N174" s="6"/>
      <c r="O174" s="6"/>
      <c r="P174" s="20"/>
      <c r="Q174" s="6"/>
      <c r="R174" s="6"/>
      <c r="S174" s="20"/>
    </row>
    <row r="175" spans="1:19" ht="15.75" customHeight="1">
      <c r="A175" s="6"/>
      <c r="B175" s="6"/>
      <c r="C175" s="6"/>
      <c r="D175" s="6"/>
      <c r="E175" s="6"/>
      <c r="F175" s="537"/>
      <c r="G175" s="6"/>
      <c r="H175" s="6"/>
      <c r="I175" s="6"/>
      <c r="J175" s="20"/>
      <c r="L175" s="20"/>
      <c r="M175" s="6"/>
      <c r="N175" s="6"/>
      <c r="O175" s="6"/>
      <c r="P175" s="20"/>
      <c r="Q175" s="6"/>
      <c r="R175" s="6"/>
      <c r="S175" s="20"/>
    </row>
    <row r="176" spans="1:19" ht="15.75" customHeight="1">
      <c r="A176" s="6"/>
      <c r="B176" s="6"/>
      <c r="C176" s="6"/>
      <c r="D176" s="6"/>
      <c r="E176" s="6"/>
      <c r="F176" s="537"/>
      <c r="G176" s="6"/>
      <c r="H176" s="6"/>
      <c r="I176" s="6"/>
      <c r="J176" s="20"/>
      <c r="L176" s="20"/>
      <c r="M176" s="6"/>
      <c r="N176" s="6"/>
      <c r="O176" s="6"/>
      <c r="P176" s="20"/>
      <c r="Q176" s="6"/>
      <c r="R176" s="6"/>
      <c r="S176" s="20"/>
    </row>
    <row r="177" spans="1:19" ht="15.75" customHeight="1">
      <c r="A177" s="6"/>
      <c r="B177" s="6"/>
      <c r="C177" s="6"/>
      <c r="D177" s="6"/>
      <c r="E177" s="6"/>
      <c r="F177" s="537"/>
      <c r="G177" s="6"/>
      <c r="H177" s="6"/>
      <c r="I177" s="6"/>
      <c r="J177" s="20"/>
      <c r="L177" s="20"/>
      <c r="M177" s="6"/>
      <c r="N177" s="6"/>
      <c r="O177" s="6"/>
      <c r="P177" s="20"/>
      <c r="Q177" s="6"/>
      <c r="R177" s="6"/>
      <c r="S177" s="20"/>
    </row>
    <row r="178" spans="1:19" ht="15.75" customHeight="1">
      <c r="A178" s="6"/>
      <c r="B178" s="6"/>
      <c r="C178" s="6"/>
      <c r="D178" s="6"/>
      <c r="E178" s="6"/>
      <c r="F178" s="537"/>
      <c r="G178" s="6"/>
      <c r="H178" s="6"/>
      <c r="I178" s="6"/>
      <c r="J178" s="20"/>
      <c r="L178" s="20"/>
      <c r="M178" s="6"/>
      <c r="N178" s="6"/>
      <c r="O178" s="6"/>
      <c r="P178" s="20"/>
      <c r="Q178" s="6"/>
      <c r="R178" s="6"/>
      <c r="S178" s="20"/>
    </row>
    <row r="179" spans="1:19" ht="15.75" customHeight="1">
      <c r="A179" s="6"/>
      <c r="B179" s="6"/>
      <c r="C179" s="6"/>
      <c r="D179" s="6"/>
      <c r="E179" s="6"/>
      <c r="F179" s="537"/>
      <c r="G179" s="6"/>
      <c r="H179" s="6"/>
      <c r="I179" s="6"/>
      <c r="J179" s="20"/>
      <c r="L179" s="20"/>
      <c r="M179" s="6"/>
      <c r="N179" s="6"/>
      <c r="O179" s="6"/>
      <c r="P179" s="20"/>
      <c r="Q179" s="6"/>
      <c r="R179" s="6"/>
      <c r="S179" s="20"/>
    </row>
    <row r="180" spans="1:19" ht="15.75" customHeight="1">
      <c r="A180" s="6"/>
      <c r="B180" s="6"/>
      <c r="C180" s="6"/>
      <c r="D180" s="6"/>
      <c r="E180" s="6"/>
      <c r="F180" s="537"/>
      <c r="G180" s="6"/>
      <c r="H180" s="6"/>
      <c r="I180" s="6"/>
      <c r="J180" s="20"/>
      <c r="L180" s="20"/>
      <c r="M180" s="6"/>
      <c r="N180" s="6"/>
      <c r="O180" s="6"/>
      <c r="P180" s="20"/>
      <c r="Q180" s="6"/>
      <c r="R180" s="6"/>
      <c r="S180" s="20"/>
    </row>
    <row r="181" spans="1:19" ht="15.75" customHeight="1">
      <c r="A181" s="6"/>
      <c r="B181" s="6"/>
      <c r="C181" s="6"/>
      <c r="D181" s="6"/>
      <c r="E181" s="6"/>
      <c r="F181" s="537"/>
      <c r="G181" s="6"/>
      <c r="H181" s="6"/>
      <c r="I181" s="6"/>
      <c r="J181" s="20"/>
      <c r="L181" s="20"/>
      <c r="M181" s="6"/>
      <c r="N181" s="6"/>
      <c r="O181" s="6"/>
      <c r="P181" s="20"/>
      <c r="Q181" s="6"/>
      <c r="R181" s="6"/>
      <c r="S181" s="20"/>
    </row>
    <row r="182" spans="1:19" ht="15.75" customHeight="1">
      <c r="A182" s="6"/>
      <c r="B182" s="6"/>
      <c r="C182" s="6"/>
      <c r="D182" s="6"/>
      <c r="E182" s="6"/>
      <c r="F182" s="537"/>
      <c r="G182" s="6"/>
      <c r="H182" s="6"/>
      <c r="I182" s="6"/>
      <c r="J182" s="20"/>
      <c r="L182" s="20"/>
      <c r="M182" s="6"/>
      <c r="N182" s="6"/>
      <c r="O182" s="6"/>
      <c r="P182" s="20"/>
      <c r="Q182" s="6"/>
      <c r="R182" s="6"/>
      <c r="S182" s="20"/>
    </row>
    <row r="183" spans="1:19" ht="15.75" customHeight="1">
      <c r="A183" s="6"/>
      <c r="B183" s="6"/>
      <c r="C183" s="6"/>
      <c r="D183" s="6"/>
      <c r="E183" s="6"/>
      <c r="F183" s="537"/>
      <c r="G183" s="6"/>
      <c r="H183" s="6"/>
      <c r="I183" s="6"/>
      <c r="J183" s="20"/>
      <c r="L183" s="20"/>
      <c r="M183" s="6"/>
      <c r="N183" s="6"/>
      <c r="O183" s="6"/>
      <c r="P183" s="20"/>
      <c r="Q183" s="6"/>
      <c r="R183" s="6"/>
      <c r="S183" s="20"/>
    </row>
    <row r="184" spans="1:19" ht="15.75" customHeight="1">
      <c r="A184" s="6"/>
      <c r="B184" s="6"/>
      <c r="C184" s="6"/>
      <c r="D184" s="6"/>
      <c r="E184" s="6"/>
      <c r="F184" s="537"/>
      <c r="G184" s="6"/>
      <c r="H184" s="6"/>
      <c r="I184" s="6"/>
      <c r="J184" s="20"/>
      <c r="L184" s="20"/>
      <c r="M184" s="6"/>
      <c r="N184" s="6"/>
      <c r="O184" s="6"/>
      <c r="P184" s="20"/>
      <c r="Q184" s="6"/>
      <c r="R184" s="6"/>
      <c r="S184" s="20"/>
    </row>
    <row r="185" spans="1:19" ht="15.75" customHeight="1">
      <c r="A185" s="6"/>
      <c r="B185" s="6"/>
      <c r="C185" s="6"/>
      <c r="D185" s="6"/>
      <c r="E185" s="6"/>
      <c r="F185" s="537"/>
      <c r="G185" s="6"/>
      <c r="H185" s="6"/>
      <c r="I185" s="6"/>
      <c r="J185" s="20"/>
      <c r="L185" s="20"/>
      <c r="M185" s="6"/>
      <c r="N185" s="6"/>
      <c r="O185" s="6"/>
      <c r="P185" s="20"/>
      <c r="Q185" s="6"/>
      <c r="R185" s="6"/>
      <c r="S185" s="20"/>
    </row>
    <row r="186" spans="1:19" ht="15.75" customHeight="1">
      <c r="A186" s="6"/>
      <c r="B186" s="6"/>
      <c r="C186" s="6"/>
      <c r="D186" s="6"/>
      <c r="E186" s="6"/>
      <c r="F186" s="537"/>
      <c r="G186" s="6"/>
      <c r="H186" s="6"/>
      <c r="I186" s="6"/>
      <c r="J186" s="20"/>
      <c r="L186" s="20"/>
      <c r="M186" s="6"/>
      <c r="N186" s="6"/>
      <c r="O186" s="6"/>
      <c r="P186" s="20"/>
      <c r="Q186" s="6"/>
      <c r="R186" s="6"/>
      <c r="S186" s="20"/>
    </row>
    <row r="187" spans="1:19" ht="15.75" customHeight="1">
      <c r="A187" s="6"/>
      <c r="B187" s="6"/>
      <c r="C187" s="6"/>
      <c r="D187" s="6"/>
      <c r="E187" s="6"/>
      <c r="F187" s="537"/>
      <c r="G187" s="6"/>
      <c r="H187" s="6"/>
      <c r="I187" s="6"/>
      <c r="J187" s="20"/>
      <c r="L187" s="20"/>
      <c r="M187" s="6"/>
      <c r="N187" s="6"/>
      <c r="O187" s="6"/>
      <c r="P187" s="20"/>
      <c r="Q187" s="6"/>
      <c r="R187" s="6"/>
      <c r="S187" s="20"/>
    </row>
    <row r="188" spans="1:19" ht="15.75" customHeight="1">
      <c r="A188" s="6"/>
      <c r="B188" s="6"/>
      <c r="C188" s="6"/>
      <c r="D188" s="6"/>
      <c r="E188" s="6"/>
      <c r="F188" s="537"/>
      <c r="G188" s="6"/>
      <c r="H188" s="6"/>
      <c r="I188" s="6"/>
      <c r="J188" s="20"/>
      <c r="L188" s="20"/>
      <c r="M188" s="6"/>
      <c r="N188" s="6"/>
      <c r="O188" s="6"/>
      <c r="P188" s="20"/>
      <c r="Q188" s="6"/>
      <c r="R188" s="6"/>
      <c r="S188" s="20"/>
    </row>
    <row r="189" spans="1:19" ht="15.75" customHeight="1">
      <c r="A189" s="6"/>
      <c r="B189" s="6"/>
      <c r="C189" s="6"/>
      <c r="D189" s="6"/>
      <c r="E189" s="6"/>
      <c r="F189" s="537"/>
      <c r="G189" s="6"/>
      <c r="H189" s="6"/>
      <c r="I189" s="6"/>
      <c r="J189" s="20"/>
      <c r="L189" s="20"/>
      <c r="M189" s="6"/>
      <c r="N189" s="6"/>
      <c r="O189" s="6"/>
      <c r="P189" s="20"/>
      <c r="Q189" s="6"/>
      <c r="R189" s="6"/>
      <c r="S189" s="20"/>
    </row>
    <row r="190" spans="1:19" ht="15.75" customHeight="1">
      <c r="A190" s="6"/>
      <c r="B190" s="6"/>
      <c r="C190" s="6"/>
      <c r="D190" s="6"/>
      <c r="E190" s="6"/>
      <c r="F190" s="537"/>
      <c r="G190" s="6"/>
      <c r="H190" s="6"/>
      <c r="I190" s="6"/>
      <c r="J190" s="20"/>
      <c r="L190" s="20"/>
      <c r="M190" s="6"/>
      <c r="N190" s="6"/>
      <c r="O190" s="6"/>
      <c r="P190" s="20"/>
      <c r="Q190" s="6"/>
      <c r="R190" s="6"/>
      <c r="S190" s="20"/>
    </row>
    <row r="191" spans="1:19" ht="15.75" customHeight="1">
      <c r="A191" s="6"/>
      <c r="B191" s="6"/>
      <c r="C191" s="6"/>
      <c r="D191" s="6"/>
      <c r="E191" s="6"/>
      <c r="F191" s="537"/>
      <c r="G191" s="6"/>
      <c r="H191" s="6"/>
      <c r="I191" s="6"/>
      <c r="J191" s="20"/>
      <c r="L191" s="20"/>
      <c r="M191" s="6"/>
      <c r="N191" s="6"/>
      <c r="O191" s="6"/>
      <c r="P191" s="20"/>
      <c r="Q191" s="6"/>
      <c r="R191" s="6"/>
      <c r="S191" s="20"/>
    </row>
    <row r="192" spans="1:19" ht="15.75" customHeight="1">
      <c r="A192" s="6"/>
      <c r="B192" s="6"/>
      <c r="C192" s="6"/>
      <c r="D192" s="6"/>
      <c r="E192" s="6"/>
      <c r="F192" s="537"/>
      <c r="G192" s="6"/>
      <c r="H192" s="6"/>
      <c r="I192" s="6"/>
      <c r="J192" s="20"/>
      <c r="L192" s="20"/>
      <c r="M192" s="6"/>
      <c r="N192" s="6"/>
      <c r="O192" s="6"/>
      <c r="P192" s="20"/>
      <c r="Q192" s="6"/>
      <c r="R192" s="6"/>
      <c r="S192" s="20"/>
    </row>
    <row r="193" spans="1:19" ht="15.75" customHeight="1">
      <c r="A193" s="6"/>
      <c r="B193" s="6"/>
      <c r="C193" s="6"/>
      <c r="D193" s="6"/>
      <c r="E193" s="6"/>
      <c r="F193" s="537"/>
      <c r="G193" s="6"/>
      <c r="H193" s="6"/>
      <c r="I193" s="6"/>
      <c r="J193" s="20"/>
      <c r="L193" s="20"/>
      <c r="M193" s="6"/>
      <c r="N193" s="6"/>
      <c r="O193" s="6"/>
      <c r="P193" s="20"/>
      <c r="Q193" s="6"/>
      <c r="R193" s="6"/>
      <c r="S193" s="20"/>
    </row>
    <row r="194" spans="1:19" ht="15.75" customHeight="1">
      <c r="A194" s="6"/>
      <c r="B194" s="6"/>
      <c r="C194" s="6"/>
      <c r="D194" s="6"/>
      <c r="E194" s="6"/>
      <c r="F194" s="537"/>
      <c r="G194" s="6"/>
      <c r="H194" s="6"/>
      <c r="I194" s="6"/>
      <c r="J194" s="20"/>
      <c r="L194" s="20"/>
      <c r="M194" s="6"/>
      <c r="N194" s="6"/>
      <c r="O194" s="6"/>
      <c r="P194" s="20"/>
      <c r="Q194" s="6"/>
      <c r="R194" s="6"/>
      <c r="S194" s="20"/>
    </row>
    <row r="195" spans="1:19" ht="15.75" customHeight="1">
      <c r="A195" s="6"/>
      <c r="B195" s="6"/>
      <c r="C195" s="6"/>
      <c r="D195" s="6"/>
      <c r="E195" s="6"/>
      <c r="F195" s="537"/>
      <c r="G195" s="6"/>
      <c r="H195" s="6"/>
      <c r="I195" s="6"/>
      <c r="J195" s="20"/>
      <c r="L195" s="20"/>
      <c r="M195" s="6"/>
      <c r="N195" s="6"/>
      <c r="O195" s="6"/>
      <c r="P195" s="20"/>
      <c r="Q195" s="6"/>
      <c r="R195" s="6"/>
      <c r="S195" s="20"/>
    </row>
    <row r="196" spans="1:19" ht="15.75" customHeight="1">
      <c r="A196" s="6"/>
      <c r="B196" s="6"/>
      <c r="C196" s="6"/>
      <c r="D196" s="6"/>
      <c r="E196" s="6"/>
      <c r="F196" s="537"/>
      <c r="G196" s="6"/>
      <c r="H196" s="6"/>
      <c r="I196" s="6"/>
      <c r="J196" s="20"/>
      <c r="L196" s="20"/>
      <c r="M196" s="6"/>
      <c r="N196" s="6"/>
      <c r="O196" s="6"/>
      <c r="P196" s="20"/>
      <c r="Q196" s="6"/>
      <c r="R196" s="6"/>
      <c r="S196" s="20"/>
    </row>
    <row r="197" spans="1:19" ht="15.75" customHeight="1">
      <c r="A197" s="6"/>
      <c r="B197" s="6"/>
      <c r="C197" s="6"/>
      <c r="D197" s="6"/>
      <c r="E197" s="6"/>
      <c r="F197" s="537"/>
      <c r="G197" s="6"/>
      <c r="H197" s="6"/>
      <c r="I197" s="6"/>
      <c r="J197" s="20"/>
      <c r="L197" s="20"/>
      <c r="M197" s="6"/>
      <c r="N197" s="6"/>
      <c r="O197" s="6"/>
      <c r="P197" s="20"/>
      <c r="Q197" s="6"/>
      <c r="R197" s="6"/>
      <c r="S197" s="20"/>
    </row>
    <row r="198" spans="1:19" ht="15.75" customHeight="1">
      <c r="A198" s="6"/>
      <c r="B198" s="6"/>
      <c r="C198" s="6"/>
      <c r="D198" s="6"/>
      <c r="E198" s="6"/>
      <c r="F198" s="537"/>
      <c r="G198" s="6"/>
      <c r="H198" s="6"/>
      <c r="I198" s="6"/>
      <c r="J198" s="20"/>
      <c r="L198" s="20"/>
      <c r="M198" s="6"/>
      <c r="N198" s="6"/>
      <c r="O198" s="6"/>
      <c r="P198" s="20"/>
      <c r="Q198" s="6"/>
      <c r="R198" s="6"/>
      <c r="S198" s="20"/>
    </row>
    <row r="199" spans="1:19" ht="15.75" customHeight="1">
      <c r="A199" s="6"/>
      <c r="B199" s="6"/>
      <c r="C199" s="6"/>
      <c r="D199" s="6"/>
      <c r="E199" s="6"/>
      <c r="F199" s="537"/>
      <c r="G199" s="6"/>
      <c r="H199" s="6"/>
      <c r="I199" s="6"/>
      <c r="J199" s="20"/>
      <c r="L199" s="20"/>
      <c r="M199" s="6"/>
      <c r="N199" s="6"/>
      <c r="O199" s="6"/>
      <c r="P199" s="20"/>
      <c r="Q199" s="6"/>
      <c r="R199" s="6"/>
      <c r="S199" s="20"/>
    </row>
    <row r="200" spans="1:19" ht="15.75" customHeight="1">
      <c r="A200" s="6"/>
      <c r="B200" s="6"/>
      <c r="C200" s="6"/>
      <c r="D200" s="6"/>
      <c r="E200" s="6"/>
      <c r="F200" s="537"/>
      <c r="G200" s="6"/>
      <c r="H200" s="6"/>
      <c r="I200" s="6"/>
      <c r="J200" s="20"/>
      <c r="L200" s="20"/>
      <c r="M200" s="6"/>
      <c r="N200" s="6"/>
      <c r="O200" s="6"/>
      <c r="P200" s="20"/>
      <c r="Q200" s="6"/>
      <c r="R200" s="6"/>
      <c r="S200" s="20"/>
    </row>
    <row r="201" spans="1:19" ht="15.75" customHeight="1">
      <c r="B201" s="6"/>
      <c r="C201" s="6"/>
      <c r="D201" s="6"/>
      <c r="E201" s="6"/>
      <c r="F201" s="537"/>
      <c r="G201" s="6"/>
      <c r="H201" s="6"/>
      <c r="I201" s="6"/>
      <c r="J201" s="20"/>
      <c r="L201" s="20"/>
      <c r="M201" s="6"/>
      <c r="N201" s="6"/>
      <c r="O201" s="6"/>
      <c r="P201" s="20"/>
      <c r="Q201" s="6"/>
      <c r="R201" s="6"/>
      <c r="S201" s="20"/>
    </row>
    <row r="202" spans="1:19" ht="15.75" customHeight="1">
      <c r="B202" s="6"/>
      <c r="C202" s="6"/>
      <c r="D202" s="6"/>
      <c r="E202" s="6"/>
      <c r="F202" s="537"/>
      <c r="G202" s="6"/>
      <c r="H202" s="6"/>
      <c r="I202" s="6"/>
      <c r="J202" s="20"/>
      <c r="L202" s="20"/>
      <c r="M202" s="6"/>
      <c r="N202" s="6"/>
      <c r="O202" s="6"/>
      <c r="P202" s="20"/>
      <c r="Q202" s="6"/>
      <c r="R202" s="6"/>
      <c r="S202" s="20"/>
    </row>
    <row r="203" spans="1:19" ht="15.75" customHeight="1">
      <c r="B203" s="6"/>
      <c r="C203" s="6"/>
      <c r="D203" s="6"/>
      <c r="E203" s="6"/>
      <c r="F203" s="537"/>
      <c r="G203" s="6"/>
      <c r="H203" s="6"/>
      <c r="I203" s="6"/>
      <c r="J203" s="20"/>
      <c r="L203" s="20"/>
      <c r="M203" s="6"/>
      <c r="N203" s="6"/>
      <c r="O203" s="6"/>
      <c r="P203" s="20"/>
      <c r="Q203" s="6"/>
      <c r="R203" s="6"/>
      <c r="S203" s="20"/>
    </row>
    <row r="204" spans="1:19" ht="15.75" customHeight="1">
      <c r="B204" s="6"/>
      <c r="C204" s="6"/>
      <c r="D204" s="6"/>
      <c r="E204" s="6"/>
      <c r="F204" s="537"/>
      <c r="G204" s="6"/>
      <c r="H204" s="6"/>
      <c r="I204" s="6"/>
      <c r="J204" s="20"/>
      <c r="L204" s="20"/>
      <c r="M204" s="6"/>
      <c r="N204" s="6"/>
      <c r="O204" s="6"/>
      <c r="P204" s="20"/>
      <c r="Q204" s="6"/>
      <c r="R204" s="6"/>
      <c r="S204" s="20"/>
    </row>
    <row r="205" spans="1:19" ht="15.75" customHeight="1">
      <c r="B205" s="6"/>
      <c r="C205" s="6"/>
      <c r="D205" s="6"/>
      <c r="E205" s="6"/>
      <c r="F205" s="537"/>
      <c r="G205" s="6"/>
      <c r="H205" s="6"/>
      <c r="I205" s="6"/>
      <c r="J205" s="20"/>
      <c r="L205" s="20"/>
      <c r="M205" s="6"/>
      <c r="N205" s="6"/>
      <c r="O205" s="6"/>
      <c r="P205" s="20"/>
      <c r="Q205" s="6"/>
      <c r="R205" s="6"/>
      <c r="S205" s="20"/>
    </row>
    <row r="206" spans="1:19" ht="15.75" customHeight="1">
      <c r="B206" s="6"/>
      <c r="C206" s="6"/>
      <c r="D206" s="6"/>
      <c r="E206" s="6"/>
      <c r="F206" s="537"/>
      <c r="G206" s="6"/>
      <c r="H206" s="6"/>
      <c r="I206" s="6"/>
      <c r="J206" s="20"/>
      <c r="L206" s="20"/>
      <c r="M206" s="6"/>
      <c r="N206" s="6"/>
      <c r="O206" s="6"/>
      <c r="P206" s="20"/>
      <c r="Q206" s="6"/>
      <c r="R206" s="6"/>
      <c r="S206" s="20"/>
    </row>
    <row r="207" spans="1:19" ht="15.75" customHeight="1">
      <c r="B207" s="6"/>
      <c r="C207" s="6"/>
      <c r="D207" s="6"/>
      <c r="E207" s="6"/>
      <c r="F207" s="537"/>
      <c r="G207" s="6"/>
      <c r="H207" s="6"/>
      <c r="I207" s="6"/>
      <c r="J207" s="20"/>
      <c r="L207" s="20"/>
      <c r="M207" s="6"/>
      <c r="N207" s="6"/>
      <c r="O207" s="6"/>
      <c r="P207" s="20"/>
      <c r="Q207" s="6"/>
      <c r="R207" s="6"/>
      <c r="S207" s="20"/>
    </row>
    <row r="208" spans="1:19" ht="15.75" customHeight="1">
      <c r="B208" s="6"/>
      <c r="C208" s="6"/>
      <c r="D208" s="6"/>
      <c r="E208" s="6"/>
      <c r="F208" s="537"/>
      <c r="G208" s="6"/>
      <c r="H208" s="6"/>
      <c r="I208" s="6"/>
      <c r="J208" s="20"/>
      <c r="L208" s="20"/>
      <c r="M208" s="6"/>
      <c r="N208" s="6"/>
      <c r="O208" s="6"/>
      <c r="P208" s="20"/>
      <c r="Q208" s="6"/>
      <c r="R208" s="6"/>
      <c r="S208" s="20"/>
    </row>
    <row r="209" spans="2:19" ht="15.75" customHeight="1">
      <c r="B209" s="6"/>
      <c r="C209" s="6"/>
      <c r="D209" s="6"/>
      <c r="E209" s="6"/>
      <c r="F209" s="537"/>
      <c r="G209" s="6"/>
      <c r="H209" s="6"/>
      <c r="I209" s="6"/>
      <c r="J209" s="20"/>
      <c r="L209" s="20"/>
      <c r="M209" s="6"/>
      <c r="N209" s="6"/>
      <c r="O209" s="6"/>
      <c r="P209" s="20"/>
      <c r="Q209" s="6"/>
      <c r="R209" s="6"/>
      <c r="S209" s="20"/>
    </row>
    <row r="210" spans="2:19" ht="15.75" customHeight="1">
      <c r="B210" s="6"/>
      <c r="C210" s="6"/>
      <c r="D210" s="6"/>
      <c r="E210" s="6"/>
      <c r="F210" s="537"/>
      <c r="G210" s="6"/>
      <c r="H210" s="6"/>
      <c r="I210" s="6"/>
      <c r="J210" s="20"/>
      <c r="L210" s="20"/>
      <c r="M210" s="6"/>
      <c r="N210" s="6"/>
      <c r="O210" s="6"/>
      <c r="P210" s="20"/>
      <c r="Q210" s="6"/>
      <c r="R210" s="6"/>
      <c r="S210" s="20"/>
    </row>
    <row r="211" spans="2:19" ht="15.75" customHeight="1">
      <c r="B211" s="6"/>
      <c r="C211" s="6"/>
      <c r="D211" s="6"/>
      <c r="E211" s="6"/>
      <c r="F211" s="537"/>
      <c r="G211" s="6"/>
      <c r="H211" s="6"/>
      <c r="I211" s="6"/>
      <c r="J211" s="20"/>
      <c r="L211" s="20"/>
      <c r="M211" s="6"/>
      <c r="N211" s="6"/>
      <c r="O211" s="6"/>
      <c r="P211" s="20"/>
      <c r="Q211" s="6"/>
      <c r="R211" s="6"/>
      <c r="S211" s="20"/>
    </row>
    <row r="212" spans="2:19" ht="15.75" customHeight="1">
      <c r="B212" s="6"/>
      <c r="C212" s="6"/>
      <c r="D212" s="6"/>
      <c r="E212" s="6"/>
      <c r="F212" s="537"/>
      <c r="G212" s="6"/>
      <c r="H212" s="6"/>
      <c r="I212" s="6"/>
      <c r="J212" s="20"/>
      <c r="L212" s="20"/>
      <c r="M212" s="6"/>
      <c r="N212" s="6"/>
      <c r="O212" s="6"/>
      <c r="P212" s="20"/>
      <c r="Q212" s="6"/>
      <c r="R212" s="6"/>
      <c r="S212" s="20"/>
    </row>
    <row r="213" spans="2:19" ht="15.75" customHeight="1">
      <c r="B213" s="6"/>
      <c r="C213" s="6"/>
      <c r="D213" s="6"/>
      <c r="E213" s="6"/>
      <c r="F213" s="537"/>
      <c r="G213" s="6"/>
      <c r="H213" s="6"/>
      <c r="I213" s="6"/>
      <c r="J213" s="20"/>
      <c r="L213" s="20"/>
      <c r="M213" s="6"/>
      <c r="N213" s="6"/>
      <c r="O213" s="6"/>
      <c r="P213" s="20"/>
      <c r="Q213" s="6"/>
      <c r="R213" s="6"/>
      <c r="S213" s="20"/>
    </row>
    <row r="214" spans="2:19" ht="15.75" customHeight="1">
      <c r="B214" s="6"/>
      <c r="C214" s="6"/>
      <c r="D214" s="6"/>
      <c r="E214" s="6"/>
      <c r="F214" s="537"/>
      <c r="G214" s="6"/>
      <c r="H214" s="6"/>
      <c r="I214" s="6"/>
      <c r="J214" s="20"/>
      <c r="L214" s="20"/>
      <c r="M214" s="6"/>
      <c r="N214" s="6"/>
      <c r="O214" s="6"/>
      <c r="P214" s="20"/>
      <c r="Q214" s="6"/>
      <c r="R214" s="6"/>
      <c r="S214" s="20"/>
    </row>
    <row r="215" spans="2:19" ht="15.75" customHeight="1">
      <c r="B215" s="6"/>
      <c r="C215" s="6"/>
      <c r="D215" s="6"/>
      <c r="E215" s="6"/>
      <c r="F215" s="537"/>
      <c r="G215" s="6"/>
      <c r="H215" s="6"/>
      <c r="I215" s="6"/>
      <c r="J215" s="20"/>
      <c r="L215" s="20"/>
      <c r="M215" s="6"/>
      <c r="N215" s="6"/>
      <c r="O215" s="6"/>
      <c r="P215" s="20"/>
      <c r="Q215" s="6"/>
      <c r="R215" s="6"/>
      <c r="S215" s="20"/>
    </row>
    <row r="216" spans="2:19" ht="15.75" customHeight="1">
      <c r="B216" s="6"/>
      <c r="C216" s="6"/>
      <c r="D216" s="6"/>
      <c r="E216" s="6"/>
      <c r="F216" s="537"/>
      <c r="G216" s="6"/>
      <c r="H216" s="6"/>
      <c r="I216" s="6"/>
      <c r="J216" s="20"/>
      <c r="L216" s="20"/>
      <c r="M216" s="6"/>
      <c r="N216" s="6"/>
      <c r="O216" s="6"/>
      <c r="P216" s="20"/>
      <c r="Q216" s="6"/>
      <c r="R216" s="6"/>
      <c r="S216" s="20"/>
    </row>
    <row r="217" spans="2:19" ht="15.75" customHeight="1">
      <c r="B217" s="6"/>
      <c r="C217" s="6"/>
      <c r="D217" s="6"/>
      <c r="E217" s="6"/>
      <c r="F217" s="537"/>
      <c r="G217" s="6"/>
      <c r="H217" s="6"/>
      <c r="I217" s="6"/>
      <c r="J217" s="20"/>
      <c r="L217" s="20"/>
      <c r="M217" s="6"/>
      <c r="N217" s="6"/>
      <c r="O217" s="6"/>
      <c r="P217" s="20"/>
      <c r="Q217" s="6"/>
      <c r="R217" s="6"/>
      <c r="S217" s="20"/>
    </row>
    <row r="218" spans="2:19" ht="15.75" customHeight="1">
      <c r="B218" s="6"/>
      <c r="C218" s="6"/>
      <c r="D218" s="6"/>
      <c r="E218" s="6"/>
      <c r="F218" s="537"/>
      <c r="G218" s="6"/>
      <c r="H218" s="6"/>
      <c r="I218" s="6"/>
      <c r="J218" s="20"/>
      <c r="L218" s="20"/>
      <c r="M218" s="6"/>
      <c r="N218" s="6"/>
      <c r="O218" s="6"/>
      <c r="P218" s="20"/>
      <c r="Q218" s="6"/>
      <c r="R218" s="6"/>
      <c r="S218" s="20"/>
    </row>
    <row r="219" spans="2:19" ht="15.75" customHeight="1">
      <c r="B219" s="6"/>
      <c r="C219" s="6"/>
      <c r="D219" s="6"/>
      <c r="E219" s="6"/>
      <c r="F219" s="537"/>
      <c r="G219" s="6"/>
      <c r="H219" s="6"/>
      <c r="I219" s="6"/>
      <c r="J219" s="20"/>
      <c r="L219" s="20"/>
      <c r="M219" s="6"/>
      <c r="N219" s="6"/>
      <c r="O219" s="6"/>
      <c r="P219" s="20"/>
      <c r="Q219" s="6"/>
      <c r="R219" s="6"/>
      <c r="S219" s="20"/>
    </row>
    <row r="220" spans="2:19" ht="15.75" customHeight="1">
      <c r="B220" s="6"/>
      <c r="C220" s="6"/>
      <c r="D220" s="6"/>
      <c r="E220" s="6"/>
      <c r="F220" s="537"/>
      <c r="G220" s="6"/>
      <c r="H220" s="6"/>
      <c r="I220" s="6"/>
      <c r="J220" s="20"/>
      <c r="L220" s="20"/>
      <c r="M220" s="6"/>
      <c r="N220" s="6"/>
      <c r="O220" s="6"/>
      <c r="P220" s="20"/>
      <c r="Q220" s="6"/>
      <c r="R220" s="6"/>
      <c r="S220" s="20"/>
    </row>
    <row r="221" spans="2:19" ht="15.75" customHeight="1">
      <c r="B221" s="6"/>
      <c r="C221" s="6"/>
      <c r="D221" s="6"/>
      <c r="E221" s="6"/>
      <c r="F221" s="537"/>
      <c r="G221" s="6"/>
      <c r="H221" s="6"/>
      <c r="I221" s="6"/>
      <c r="J221" s="20"/>
      <c r="L221" s="20"/>
      <c r="M221" s="6"/>
      <c r="N221" s="6"/>
      <c r="O221" s="6"/>
      <c r="P221" s="20"/>
      <c r="Q221" s="6"/>
      <c r="R221" s="6"/>
      <c r="S221" s="20"/>
    </row>
    <row r="222" spans="2:19" ht="15.75" customHeight="1">
      <c r="B222" s="6"/>
      <c r="C222" s="6"/>
      <c r="D222" s="6"/>
      <c r="E222" s="6"/>
      <c r="F222" s="537"/>
      <c r="G222" s="6"/>
      <c r="H222" s="6"/>
      <c r="I222" s="6"/>
      <c r="J222" s="20"/>
      <c r="L222" s="20"/>
      <c r="M222" s="6"/>
      <c r="N222" s="6"/>
      <c r="O222" s="6"/>
      <c r="P222" s="20"/>
      <c r="Q222" s="6"/>
      <c r="R222" s="6"/>
      <c r="S222" s="20"/>
    </row>
    <row r="223" spans="2:19" ht="15.75" customHeight="1">
      <c r="B223" s="6"/>
      <c r="C223" s="6"/>
      <c r="D223" s="6"/>
      <c r="E223" s="6"/>
      <c r="F223" s="537"/>
      <c r="G223" s="6"/>
      <c r="H223" s="6"/>
      <c r="I223" s="6"/>
      <c r="J223" s="20"/>
      <c r="L223" s="20"/>
      <c r="M223" s="6"/>
      <c r="N223" s="6"/>
      <c r="O223" s="6"/>
      <c r="P223" s="20"/>
      <c r="Q223" s="6"/>
      <c r="R223" s="6"/>
      <c r="S223" s="20"/>
    </row>
    <row r="224" spans="2:19" ht="15.75" customHeight="1">
      <c r="B224" s="6"/>
      <c r="C224" s="6"/>
      <c r="D224" s="6"/>
      <c r="E224" s="6"/>
      <c r="F224" s="537"/>
      <c r="G224" s="6"/>
      <c r="H224" s="6"/>
      <c r="I224" s="6"/>
      <c r="J224" s="20"/>
      <c r="L224" s="20"/>
      <c r="M224" s="6"/>
      <c r="N224" s="6"/>
      <c r="O224" s="6"/>
      <c r="P224" s="20"/>
      <c r="Q224" s="6"/>
      <c r="R224" s="6"/>
      <c r="S224" s="20"/>
    </row>
    <row r="225" spans="2:19" ht="15.75" customHeight="1">
      <c r="B225" s="6"/>
      <c r="C225" s="6"/>
      <c r="D225" s="6"/>
      <c r="E225" s="6"/>
      <c r="F225" s="537"/>
      <c r="G225" s="6"/>
      <c r="H225" s="6"/>
      <c r="I225" s="6"/>
      <c r="J225" s="20"/>
      <c r="L225" s="20"/>
      <c r="M225" s="6"/>
      <c r="N225" s="6"/>
      <c r="O225" s="6"/>
      <c r="P225" s="20"/>
      <c r="Q225" s="6"/>
      <c r="R225" s="6"/>
      <c r="S225" s="20"/>
    </row>
    <row r="226" spans="2:19" ht="15.75" customHeight="1">
      <c r="B226" s="6"/>
      <c r="C226" s="6"/>
      <c r="D226" s="6"/>
      <c r="E226" s="6"/>
      <c r="F226" s="537"/>
      <c r="G226" s="6"/>
      <c r="H226" s="6"/>
      <c r="I226" s="6"/>
      <c r="J226" s="20"/>
      <c r="L226" s="20"/>
      <c r="M226" s="6"/>
      <c r="N226" s="6"/>
      <c r="O226" s="6"/>
      <c r="P226" s="20"/>
      <c r="Q226" s="6"/>
      <c r="R226" s="6"/>
      <c r="S226" s="20"/>
    </row>
    <row r="227" spans="2:19" ht="15.75" customHeight="1">
      <c r="B227" s="6"/>
      <c r="C227" s="6"/>
      <c r="D227" s="6"/>
      <c r="E227" s="6"/>
      <c r="F227" s="537"/>
      <c r="G227" s="6"/>
      <c r="H227" s="6"/>
      <c r="I227" s="6"/>
      <c r="J227" s="20"/>
      <c r="L227" s="20"/>
      <c r="M227" s="6"/>
      <c r="N227" s="6"/>
      <c r="O227" s="6"/>
      <c r="P227" s="20"/>
      <c r="Q227" s="6"/>
      <c r="R227" s="6"/>
      <c r="S227" s="20"/>
    </row>
    <row r="228" spans="2:19" ht="15.75" customHeight="1">
      <c r="B228" s="6"/>
      <c r="C228" s="6"/>
      <c r="D228" s="6"/>
      <c r="E228" s="6"/>
      <c r="F228" s="537"/>
      <c r="G228" s="6"/>
      <c r="H228" s="6"/>
      <c r="I228" s="6"/>
      <c r="J228" s="20"/>
      <c r="L228" s="20"/>
      <c r="M228" s="6"/>
      <c r="N228" s="6"/>
      <c r="O228" s="6"/>
      <c r="P228" s="20"/>
      <c r="Q228" s="6"/>
      <c r="R228" s="6"/>
      <c r="S228" s="20"/>
    </row>
    <row r="229" spans="2:19" ht="15.75" customHeight="1">
      <c r="B229" s="6"/>
      <c r="C229" s="6"/>
      <c r="D229" s="6"/>
      <c r="E229" s="6"/>
      <c r="F229" s="537"/>
      <c r="G229" s="6"/>
      <c r="H229" s="6"/>
      <c r="I229" s="6"/>
      <c r="J229" s="20"/>
      <c r="L229" s="20"/>
      <c r="M229" s="6"/>
      <c r="N229" s="6"/>
      <c r="O229" s="6"/>
      <c r="P229" s="20"/>
      <c r="Q229" s="6"/>
      <c r="R229" s="6"/>
      <c r="S229" s="20"/>
    </row>
    <row r="230" spans="2:19" ht="15.75" customHeight="1">
      <c r="B230" s="6"/>
      <c r="C230" s="6"/>
      <c r="D230" s="6"/>
      <c r="E230" s="6"/>
      <c r="F230" s="537"/>
      <c r="G230" s="6"/>
      <c r="H230" s="6"/>
      <c r="I230" s="6"/>
      <c r="J230" s="20"/>
      <c r="L230" s="20"/>
      <c r="M230" s="6"/>
      <c r="N230" s="6"/>
      <c r="O230" s="6"/>
      <c r="P230" s="20"/>
      <c r="Q230" s="6"/>
      <c r="R230" s="6"/>
      <c r="S230" s="20"/>
    </row>
    <row r="231" spans="2:19" ht="15.75" customHeight="1">
      <c r="B231" s="6"/>
      <c r="C231" s="6"/>
      <c r="D231" s="6"/>
      <c r="E231" s="6"/>
      <c r="F231" s="537"/>
      <c r="G231" s="6"/>
      <c r="H231" s="6"/>
      <c r="I231" s="6"/>
      <c r="J231" s="20"/>
      <c r="L231" s="20"/>
      <c r="M231" s="6"/>
      <c r="N231" s="6"/>
      <c r="O231" s="6"/>
      <c r="P231" s="20"/>
      <c r="Q231" s="6"/>
      <c r="R231" s="6"/>
      <c r="S231" s="20"/>
    </row>
    <row r="232" spans="2:19" ht="15.75" customHeight="1">
      <c r="B232" s="6"/>
      <c r="C232" s="6"/>
      <c r="D232" s="6"/>
      <c r="E232" s="6"/>
      <c r="F232" s="537"/>
      <c r="G232" s="6"/>
      <c r="H232" s="6"/>
      <c r="I232" s="6"/>
      <c r="J232" s="20"/>
      <c r="L232" s="20"/>
      <c r="M232" s="6"/>
      <c r="N232" s="6"/>
      <c r="O232" s="6"/>
      <c r="P232" s="20"/>
      <c r="Q232" s="6"/>
      <c r="R232" s="6"/>
      <c r="S232" s="20"/>
    </row>
    <row r="233" spans="2:19" ht="15.75" customHeight="1">
      <c r="B233" s="6"/>
      <c r="C233" s="6"/>
      <c r="D233" s="6"/>
      <c r="E233" s="6"/>
      <c r="F233" s="537"/>
      <c r="G233" s="6"/>
      <c r="H233" s="6"/>
      <c r="I233" s="6"/>
      <c r="J233" s="20"/>
      <c r="L233" s="20"/>
      <c r="M233" s="6"/>
      <c r="N233" s="6"/>
      <c r="O233" s="6"/>
      <c r="P233" s="20"/>
      <c r="Q233" s="6"/>
      <c r="R233" s="6"/>
      <c r="S233" s="20"/>
    </row>
    <row r="234" spans="2:19" ht="15.75" customHeight="1">
      <c r="B234" s="6"/>
      <c r="C234" s="6"/>
      <c r="D234" s="6"/>
      <c r="E234" s="6"/>
      <c r="F234" s="537"/>
      <c r="G234" s="6"/>
      <c r="H234" s="6"/>
      <c r="I234" s="6"/>
      <c r="J234" s="20"/>
      <c r="L234" s="20"/>
      <c r="M234" s="6"/>
      <c r="N234" s="6"/>
      <c r="O234" s="6"/>
      <c r="P234" s="20"/>
      <c r="Q234" s="6"/>
      <c r="R234" s="6"/>
      <c r="S234" s="20"/>
    </row>
    <row r="235" spans="2:19" ht="15.75" customHeight="1">
      <c r="B235" s="6"/>
      <c r="C235" s="6"/>
      <c r="D235" s="6"/>
      <c r="E235" s="6"/>
      <c r="F235" s="537"/>
      <c r="G235" s="6"/>
      <c r="H235" s="6"/>
      <c r="I235" s="6"/>
      <c r="J235" s="20"/>
      <c r="L235" s="20"/>
      <c r="M235" s="6"/>
      <c r="N235" s="6"/>
      <c r="O235" s="6"/>
      <c r="P235" s="20"/>
      <c r="Q235" s="6"/>
      <c r="R235" s="6"/>
      <c r="S235" s="20"/>
    </row>
    <row r="236" spans="2:19" ht="15.75" customHeight="1">
      <c r="B236" s="6"/>
      <c r="C236" s="6"/>
      <c r="D236" s="6"/>
      <c r="E236" s="6"/>
      <c r="F236" s="537"/>
      <c r="G236" s="6"/>
      <c r="H236" s="6"/>
      <c r="I236" s="6"/>
      <c r="J236" s="20"/>
      <c r="L236" s="20"/>
      <c r="M236" s="6"/>
      <c r="N236" s="6"/>
      <c r="O236" s="6"/>
      <c r="P236" s="20"/>
      <c r="Q236" s="6"/>
      <c r="R236" s="6"/>
      <c r="S236" s="20"/>
    </row>
    <row r="237" spans="2:19" ht="15.75" customHeight="1">
      <c r="B237" s="6"/>
      <c r="C237" s="6"/>
      <c r="D237" s="6"/>
      <c r="E237" s="6"/>
      <c r="F237" s="537"/>
      <c r="G237" s="6"/>
      <c r="H237" s="6"/>
      <c r="I237" s="6"/>
      <c r="J237" s="20"/>
      <c r="L237" s="20"/>
      <c r="M237" s="6"/>
      <c r="N237" s="6"/>
      <c r="O237" s="6"/>
      <c r="P237" s="20"/>
      <c r="Q237" s="6"/>
      <c r="R237" s="6"/>
      <c r="S237" s="20"/>
    </row>
    <row r="238" spans="2:19" ht="15.75" customHeight="1">
      <c r="B238" s="6"/>
      <c r="C238" s="6"/>
      <c r="D238" s="6"/>
      <c r="E238" s="6"/>
      <c r="F238" s="537"/>
      <c r="G238" s="6"/>
      <c r="H238" s="6"/>
      <c r="I238" s="6"/>
      <c r="J238" s="20"/>
      <c r="L238" s="20"/>
      <c r="M238" s="6"/>
      <c r="N238" s="6"/>
      <c r="O238" s="6"/>
      <c r="P238" s="20"/>
      <c r="Q238" s="6"/>
      <c r="R238" s="6"/>
      <c r="S238" s="20"/>
    </row>
    <row r="239" spans="2:19" ht="15.75" customHeight="1">
      <c r="B239" s="6"/>
      <c r="C239" s="6"/>
      <c r="D239" s="6"/>
      <c r="E239" s="6"/>
      <c r="F239" s="537"/>
      <c r="G239" s="6"/>
      <c r="H239" s="6"/>
      <c r="I239" s="6"/>
      <c r="J239" s="20"/>
      <c r="L239" s="20"/>
      <c r="M239" s="6"/>
      <c r="N239" s="6"/>
      <c r="O239" s="6"/>
      <c r="P239" s="20"/>
      <c r="Q239" s="6"/>
      <c r="R239" s="6"/>
      <c r="S239" s="20"/>
    </row>
    <row r="240" spans="2:19" ht="15.75" customHeight="1">
      <c r="B240" s="6"/>
      <c r="C240" s="6"/>
      <c r="D240" s="6"/>
      <c r="E240" s="6"/>
      <c r="F240" s="537"/>
      <c r="G240" s="6"/>
      <c r="H240" s="6"/>
      <c r="I240" s="6"/>
      <c r="J240" s="20"/>
      <c r="L240" s="20"/>
      <c r="M240" s="6"/>
      <c r="N240" s="6"/>
      <c r="O240" s="6"/>
      <c r="P240" s="20"/>
      <c r="Q240" s="6"/>
      <c r="R240" s="6"/>
      <c r="S240" s="20"/>
    </row>
    <row r="241" spans="2:10" ht="15.75" customHeight="1">
      <c r="B241" s="6"/>
      <c r="C241" s="6"/>
      <c r="D241" s="6"/>
      <c r="E241" s="6"/>
      <c r="F241" s="537"/>
      <c r="G241" s="6"/>
      <c r="H241" s="6"/>
      <c r="I241" s="6"/>
      <c r="J241" s="20"/>
    </row>
    <row r="242" spans="2:10" ht="15.75" customHeight="1">
      <c r="B242" s="6"/>
      <c r="C242" s="6"/>
      <c r="D242" s="6"/>
      <c r="E242" s="6"/>
      <c r="F242" s="537"/>
      <c r="G242" s="6"/>
      <c r="H242" s="6"/>
      <c r="I242" s="6"/>
      <c r="J242" s="20"/>
    </row>
    <row r="243" spans="2:10" ht="15.75" customHeight="1">
      <c r="B243" s="6"/>
      <c r="C243" s="6"/>
      <c r="D243" s="6"/>
      <c r="E243" s="6"/>
      <c r="F243" s="537"/>
      <c r="G243" s="6"/>
      <c r="H243" s="6"/>
      <c r="I243" s="6"/>
      <c r="J243" s="20"/>
    </row>
    <row r="244" spans="2:10" ht="15.75" customHeight="1">
      <c r="B244" s="6"/>
      <c r="C244" s="6"/>
      <c r="D244" s="6"/>
      <c r="E244" s="6"/>
      <c r="F244" s="537"/>
      <c r="G244" s="6"/>
      <c r="H244" s="6"/>
      <c r="I244" s="6"/>
      <c r="J244" s="20"/>
    </row>
    <row r="245" spans="2:10" ht="15.75" customHeight="1">
      <c r="B245" s="6"/>
      <c r="C245" s="6"/>
      <c r="D245" s="6"/>
      <c r="E245" s="6"/>
      <c r="F245" s="537"/>
      <c r="G245" s="6"/>
      <c r="H245" s="6"/>
      <c r="I245" s="6"/>
      <c r="J245" s="20"/>
    </row>
    <row r="246" spans="2:10" ht="15.75" customHeight="1">
      <c r="B246" s="6"/>
      <c r="C246" s="6"/>
      <c r="D246" s="6"/>
      <c r="E246" s="6"/>
      <c r="F246" s="537"/>
      <c r="G246" s="6"/>
      <c r="H246" s="6"/>
      <c r="I246" s="6"/>
      <c r="J246" s="20"/>
    </row>
    <row r="247" spans="2:10" ht="15.75" customHeight="1">
      <c r="B247" s="6"/>
      <c r="C247" s="6"/>
      <c r="D247" s="6"/>
      <c r="E247" s="6"/>
      <c r="F247" s="537"/>
      <c r="G247" s="6"/>
      <c r="H247" s="6"/>
      <c r="I247" s="6"/>
      <c r="J247" s="20"/>
    </row>
    <row r="248" spans="2:10" ht="15.75" customHeight="1">
      <c r="B248" s="6"/>
      <c r="C248" s="6"/>
      <c r="D248" s="6"/>
      <c r="E248" s="6"/>
      <c r="F248" s="537"/>
      <c r="G248" s="6"/>
      <c r="H248" s="6"/>
      <c r="I248" s="6"/>
      <c r="J248" s="20"/>
    </row>
    <row r="249" spans="2:10" ht="15.75" customHeight="1">
      <c r="B249" s="6"/>
      <c r="C249" s="6"/>
      <c r="D249" s="6"/>
      <c r="E249" s="6"/>
      <c r="F249" s="537"/>
      <c r="G249" s="6"/>
      <c r="H249" s="6"/>
      <c r="I249" s="6"/>
      <c r="J249" s="20"/>
    </row>
    <row r="250" spans="2:10" ht="15.75" customHeight="1">
      <c r="B250" s="6"/>
      <c r="C250" s="6"/>
      <c r="D250" s="6"/>
      <c r="E250" s="6"/>
      <c r="F250" s="537"/>
      <c r="G250" s="6"/>
      <c r="H250" s="6"/>
      <c r="I250" s="6"/>
      <c r="J250" s="20"/>
    </row>
    <row r="251" spans="2:10" ht="15.75" customHeight="1">
      <c r="B251" s="6"/>
      <c r="C251" s="6"/>
      <c r="D251" s="6"/>
      <c r="E251" s="6"/>
      <c r="F251" s="537"/>
      <c r="G251" s="6"/>
      <c r="H251" s="6"/>
      <c r="I251" s="6"/>
      <c r="J251" s="20"/>
    </row>
    <row r="252" spans="2:10" ht="15.75" customHeight="1">
      <c r="B252" s="6"/>
      <c r="C252" s="6"/>
      <c r="D252" s="6"/>
      <c r="E252" s="6"/>
      <c r="F252" s="537"/>
      <c r="G252" s="6"/>
      <c r="H252" s="6"/>
      <c r="I252" s="6"/>
      <c r="J252" s="20"/>
    </row>
    <row r="253" spans="2:10" ht="15.75" customHeight="1">
      <c r="B253" s="6"/>
      <c r="C253" s="6"/>
      <c r="D253" s="6"/>
      <c r="E253" s="6"/>
      <c r="F253" s="537"/>
      <c r="G253" s="6"/>
      <c r="H253" s="6"/>
      <c r="I253" s="6"/>
      <c r="J253" s="20"/>
    </row>
    <row r="254" spans="2:10" ht="15.75" customHeight="1">
      <c r="B254" s="6"/>
      <c r="C254" s="6"/>
      <c r="D254" s="6"/>
      <c r="E254" s="6"/>
      <c r="F254" s="537"/>
      <c r="G254" s="6"/>
      <c r="H254" s="6"/>
      <c r="I254" s="6"/>
      <c r="J254" s="20"/>
    </row>
  </sheetData>
  <mergeCells count="128">
    <mergeCell ref="F71:G72"/>
    <mergeCell ref="H79:I79"/>
    <mergeCell ref="H80:I80"/>
    <mergeCell ref="H75:I75"/>
    <mergeCell ref="H72:I72"/>
    <mergeCell ref="H73:I73"/>
    <mergeCell ref="H74:I74"/>
    <mergeCell ref="H97:I97"/>
    <mergeCell ref="B109:C109"/>
    <mergeCell ref="H76:I76"/>
    <mergeCell ref="B95:C95"/>
    <mergeCell ref="B106:C106"/>
    <mergeCell ref="B107:C107"/>
    <mergeCell ref="H87:I87"/>
    <mergeCell ref="H90:I90"/>
    <mergeCell ref="H91:I91"/>
    <mergeCell ref="H85:I85"/>
    <mergeCell ref="H96:I96"/>
    <mergeCell ref="H92:I92"/>
    <mergeCell ref="H93:I93"/>
    <mergeCell ref="H94:I94"/>
    <mergeCell ref="H95:I95"/>
    <mergeCell ref="H81:I81"/>
    <mergeCell ref="H82:I82"/>
    <mergeCell ref="B111:C111"/>
    <mergeCell ref="B110:C110"/>
    <mergeCell ref="B79:C79"/>
    <mergeCell ref="B80:C80"/>
    <mergeCell ref="B84:C84"/>
    <mergeCell ref="B89:C89"/>
    <mergeCell ref="B91:C91"/>
    <mergeCell ref="B90:C90"/>
    <mergeCell ref="B62:C62"/>
    <mergeCell ref="B63:C63"/>
    <mergeCell ref="B73:C73"/>
    <mergeCell ref="B76:C76"/>
    <mergeCell ref="B44:C44"/>
    <mergeCell ref="B48:C48"/>
    <mergeCell ref="B49:C49"/>
    <mergeCell ref="B50:C50"/>
    <mergeCell ref="B51:C51"/>
    <mergeCell ref="S125:S127"/>
    <mergeCell ref="H64:I64"/>
    <mergeCell ref="H65:I65"/>
    <mergeCell ref="H62:I62"/>
    <mergeCell ref="H63:I63"/>
    <mergeCell ref="H89:I89"/>
    <mergeCell ref="H69:I69"/>
    <mergeCell ref="H86:I86"/>
    <mergeCell ref="H78:I78"/>
    <mergeCell ref="H84:I84"/>
    <mergeCell ref="H67:I67"/>
    <mergeCell ref="H68:I68"/>
    <mergeCell ref="H71:I71"/>
    <mergeCell ref="H77:I77"/>
    <mergeCell ref="H66:I66"/>
    <mergeCell ref="L117:M117"/>
    <mergeCell ref="N117:N118"/>
    <mergeCell ref="P117:Q118"/>
    <mergeCell ref="H98:I98"/>
    <mergeCell ref="R1:S1"/>
    <mergeCell ref="P61:Q61"/>
    <mergeCell ref="L61:M61"/>
    <mergeCell ref="P2:Q3"/>
    <mergeCell ref="L106:M106"/>
    <mergeCell ref="P106:Q107"/>
    <mergeCell ref="P62:Q62"/>
    <mergeCell ref="N2:N3"/>
    <mergeCell ref="N106:N107"/>
    <mergeCell ref="L13:M13"/>
    <mergeCell ref="L21:M21"/>
    <mergeCell ref="L28:M28"/>
    <mergeCell ref="L49:M49"/>
    <mergeCell ref="L47:M47"/>
    <mergeCell ref="L71:M71"/>
    <mergeCell ref="L78:M78"/>
    <mergeCell ref="L102:M102"/>
    <mergeCell ref="P111:P112"/>
    <mergeCell ref="Q111:Q112"/>
    <mergeCell ref="R111:R112"/>
    <mergeCell ref="S111:S112"/>
    <mergeCell ref="N111:N112"/>
    <mergeCell ref="H83:I83"/>
    <mergeCell ref="H44:I44"/>
    <mergeCell ref="H46:I46"/>
    <mergeCell ref="H60:I60"/>
    <mergeCell ref="H52:I52"/>
    <mergeCell ref="H56:I56"/>
    <mergeCell ref="H57:I57"/>
    <mergeCell ref="H58:I58"/>
    <mergeCell ref="H54:I54"/>
    <mergeCell ref="H55:I55"/>
    <mergeCell ref="H59:I59"/>
    <mergeCell ref="F104:G105"/>
    <mergeCell ref="H88:I88"/>
    <mergeCell ref="D104:D105"/>
    <mergeCell ref="B104:C104"/>
    <mergeCell ref="B71:C71"/>
    <mergeCell ref="P56:Q57"/>
    <mergeCell ref="L56:M56"/>
    <mergeCell ref="P41:Q41"/>
    <mergeCell ref="L41:M41"/>
    <mergeCell ref="H49:I49"/>
    <mergeCell ref="H51:I51"/>
    <mergeCell ref="H53:I53"/>
    <mergeCell ref="H47:I47"/>
    <mergeCell ref="H48:I48"/>
    <mergeCell ref="N41:N42"/>
    <mergeCell ref="N56:N57"/>
    <mergeCell ref="N61:N62"/>
    <mergeCell ref="D71:D72"/>
    <mergeCell ref="H61:I61"/>
    <mergeCell ref="H43:I43"/>
    <mergeCell ref="D41:D42"/>
    <mergeCell ref="H99:I99"/>
    <mergeCell ref="H101:I101"/>
    <mergeCell ref="H102:I102"/>
    <mergeCell ref="B2:C2"/>
    <mergeCell ref="L2:M2"/>
    <mergeCell ref="H2:I2"/>
    <mergeCell ref="H3:I3"/>
    <mergeCell ref="B41:C41"/>
    <mergeCell ref="H41:I41"/>
    <mergeCell ref="F2:G3"/>
    <mergeCell ref="F41:G42"/>
    <mergeCell ref="H42:I42"/>
    <mergeCell ref="D2:D3"/>
    <mergeCell ref="B12:C12"/>
  </mergeCells>
  <phoneticPr fontId="13" type="noConversion"/>
  <printOptions horizontalCentered="1" verticalCentered="1"/>
  <pageMargins left="0.23622047244094491" right="0.23622047244094491" top="0.39370078740157483" bottom="0.39370078740157483" header="0" footer="0"/>
  <pageSetup scale="38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273"/>
  <sheetViews>
    <sheetView zoomScale="70" zoomScaleNormal="70" workbookViewId="0">
      <selection activeCell="G13" sqref="G13"/>
    </sheetView>
  </sheetViews>
  <sheetFormatPr baseColWidth="10" defaultColWidth="14.42578125" defaultRowHeight="15" customHeight="1"/>
  <cols>
    <col min="1" max="1" width="1.7109375" customWidth="1"/>
    <col min="2" max="2" width="10.140625" style="668" bestFit="1" customWidth="1"/>
    <col min="3" max="3" width="7.7109375" style="668" customWidth="1"/>
    <col min="4" max="4" width="8.85546875" style="668" customWidth="1"/>
    <col min="5" max="5" width="0.7109375" style="668" customWidth="1"/>
    <col min="6" max="6" width="9.42578125" style="667" customWidth="1"/>
    <col min="7" max="7" width="15.7109375" style="668" customWidth="1"/>
    <col min="8" max="8" width="58.28515625" style="470" bestFit="1" customWidth="1"/>
    <col min="9" max="9" width="12.7109375" style="680" customWidth="1"/>
    <col min="10" max="10" width="1.7109375" customWidth="1"/>
    <col min="11" max="11" width="10.140625" bestFit="1" customWidth="1"/>
    <col min="12" max="12" width="7.7109375" customWidth="1"/>
    <col min="13" max="13" width="8.7109375" customWidth="1"/>
    <col min="14" max="14" width="0.7109375" customWidth="1"/>
    <col min="15" max="15" width="9.5703125" style="324" customWidth="1"/>
    <col min="16" max="16" width="15.7109375" customWidth="1"/>
    <col min="17" max="17" width="46.28515625" customWidth="1"/>
    <col min="18" max="18" width="13.85546875" style="877" bestFit="1" customWidth="1"/>
    <col min="19" max="19" width="13.140625" style="644" customWidth="1"/>
    <col min="20" max="20" width="14.42578125" style="642" customWidth="1"/>
    <col min="21" max="26" width="14.42578125" customWidth="1"/>
  </cols>
  <sheetData>
    <row r="1" spans="1:20" ht="15" customHeight="1" thickBot="1">
      <c r="O1"/>
      <c r="R1"/>
      <c r="S1"/>
      <c r="T1"/>
    </row>
    <row r="2" spans="1:20" ht="15" customHeight="1">
      <c r="B2" s="1912" t="s">
        <v>640</v>
      </c>
      <c r="C2" s="1916"/>
      <c r="D2" s="2430" t="s">
        <v>1174</v>
      </c>
      <c r="E2" s="310"/>
      <c r="F2" s="1971" t="s">
        <v>631</v>
      </c>
      <c r="G2" s="1971"/>
      <c r="H2" s="73" t="s">
        <v>634</v>
      </c>
      <c r="I2" s="669" t="s">
        <v>260</v>
      </c>
      <c r="K2" s="2332" t="s">
        <v>640</v>
      </c>
      <c r="L2" s="2425"/>
      <c r="M2" s="2432" t="s">
        <v>1174</v>
      </c>
      <c r="N2" s="61"/>
      <c r="O2" s="1918" t="s">
        <v>275</v>
      </c>
      <c r="P2" s="1968"/>
      <c r="Q2" s="495" t="s">
        <v>611</v>
      </c>
      <c r="R2" s="693" t="s">
        <v>723</v>
      </c>
      <c r="S2"/>
    </row>
    <row r="3" spans="1:20" ht="15.75" customHeight="1">
      <c r="A3" s="6"/>
      <c r="B3" s="28" t="s">
        <v>5</v>
      </c>
      <c r="C3" s="287" t="s">
        <v>6</v>
      </c>
      <c r="D3" s="2431"/>
      <c r="E3" s="124"/>
      <c r="F3" s="1974"/>
      <c r="G3" s="1974"/>
      <c r="H3" s="53" t="s">
        <v>632</v>
      </c>
      <c r="I3" s="299"/>
      <c r="K3" s="2426"/>
      <c r="L3" s="2427"/>
      <c r="M3" s="2433"/>
      <c r="N3" s="62"/>
      <c r="O3" s="1972"/>
      <c r="P3" s="1970"/>
      <c r="Q3" s="14" t="s">
        <v>424</v>
      </c>
      <c r="R3" s="701"/>
      <c r="S3" s="642"/>
    </row>
    <row r="4" spans="1:20" ht="15.75" customHeight="1">
      <c r="A4" s="6"/>
      <c r="B4" s="308"/>
      <c r="C4" s="1436">
        <v>3</v>
      </c>
      <c r="D4" s="1438"/>
      <c r="E4" s="124"/>
      <c r="F4" s="1863"/>
      <c r="G4" s="1862" t="s">
        <v>1295</v>
      </c>
      <c r="H4" s="309" t="s">
        <v>259</v>
      </c>
      <c r="I4" s="878">
        <v>450</v>
      </c>
      <c r="K4" s="2428"/>
      <c r="L4" s="2429"/>
      <c r="M4" s="2434"/>
      <c r="N4" s="62"/>
      <c r="O4" s="2424"/>
      <c r="P4" s="1975"/>
      <c r="Q4" s="156" t="s">
        <v>357</v>
      </c>
      <c r="R4" s="701"/>
      <c r="S4" s="642"/>
    </row>
    <row r="5" spans="1:20" ht="15.75" customHeight="1" thickBot="1">
      <c r="A5" s="6"/>
      <c r="B5" s="311"/>
      <c r="C5" s="1437">
        <v>2</v>
      </c>
      <c r="D5" s="1439"/>
      <c r="E5" s="68"/>
      <c r="F5" s="311"/>
      <c r="G5" s="737" t="s">
        <v>1295</v>
      </c>
      <c r="H5" s="150" t="s">
        <v>633</v>
      </c>
      <c r="I5" s="879">
        <v>750</v>
      </c>
      <c r="K5" s="1320" t="s">
        <v>5</v>
      </c>
      <c r="L5" s="1321" t="s">
        <v>6</v>
      </c>
      <c r="M5" s="1283"/>
      <c r="N5" s="81"/>
      <c r="O5" s="1322" t="s">
        <v>7</v>
      </c>
      <c r="P5" s="1323" t="s">
        <v>1</v>
      </c>
      <c r="Q5" s="1324" t="s">
        <v>0</v>
      </c>
      <c r="R5" s="1325" t="s">
        <v>138</v>
      </c>
      <c r="S5" s="642"/>
    </row>
    <row r="6" spans="1:20" ht="15.75" customHeight="1" thickBot="1">
      <c r="A6" s="6"/>
      <c r="K6" s="211" t="s">
        <v>1413</v>
      </c>
      <c r="L6" s="1306">
        <v>1</v>
      </c>
      <c r="M6" s="1440"/>
      <c r="N6" s="27"/>
      <c r="O6" s="1319"/>
      <c r="P6" s="69" t="s">
        <v>207</v>
      </c>
      <c r="Q6" s="70" t="s">
        <v>208</v>
      </c>
      <c r="R6" s="701"/>
      <c r="S6" s="642"/>
    </row>
    <row r="7" spans="1:20" ht="15.75" customHeight="1">
      <c r="A7" s="6"/>
      <c r="B7" s="2332" t="s">
        <v>920</v>
      </c>
      <c r="C7" s="2425"/>
      <c r="D7" s="2432" t="s">
        <v>1174</v>
      </c>
      <c r="E7" s="641"/>
      <c r="F7" s="1918" t="s">
        <v>346</v>
      </c>
      <c r="G7" s="1968"/>
      <c r="H7" s="46" t="s">
        <v>534</v>
      </c>
      <c r="I7" s="669" t="s">
        <v>3</v>
      </c>
      <c r="J7" s="75"/>
      <c r="K7" s="49" t="s">
        <v>9</v>
      </c>
      <c r="L7" s="1295">
        <v>36</v>
      </c>
      <c r="M7" s="1441"/>
      <c r="N7" s="27"/>
      <c r="O7" s="1241"/>
      <c r="P7" s="47" t="s">
        <v>210</v>
      </c>
      <c r="Q7" s="52" t="s">
        <v>211</v>
      </c>
      <c r="R7" s="218"/>
      <c r="S7" s="642"/>
    </row>
    <row r="8" spans="1:20" ht="15.75" customHeight="1">
      <c r="A8" s="6"/>
      <c r="B8" s="2426"/>
      <c r="C8" s="2427"/>
      <c r="D8" s="2433"/>
      <c r="E8" s="95"/>
      <c r="F8" s="1972"/>
      <c r="G8" s="1970"/>
      <c r="H8" s="14" t="s">
        <v>533</v>
      </c>
      <c r="I8" s="219">
        <v>44958</v>
      </c>
      <c r="J8" s="75"/>
      <c r="K8" s="48" t="s">
        <v>9</v>
      </c>
      <c r="L8" s="1296">
        <v>24</v>
      </c>
      <c r="M8" s="1372"/>
      <c r="N8" s="27"/>
      <c r="O8" s="1240"/>
      <c r="P8" s="23" t="s">
        <v>210</v>
      </c>
      <c r="Q8" s="24" t="s">
        <v>212</v>
      </c>
      <c r="R8" s="219"/>
      <c r="S8" s="642"/>
    </row>
    <row r="9" spans="1:20" ht="15.75" customHeight="1">
      <c r="A9" s="6"/>
      <c r="B9" s="2428"/>
      <c r="C9" s="2429"/>
      <c r="D9" s="2434"/>
      <c r="E9" s="95"/>
      <c r="F9" s="2424"/>
      <c r="G9" s="1975"/>
      <c r="H9" s="14" t="s">
        <v>532</v>
      </c>
      <c r="I9" s="219"/>
      <c r="J9" s="75"/>
      <c r="K9" s="49" t="s">
        <v>9</v>
      </c>
      <c r="L9" s="1295">
        <v>12</v>
      </c>
      <c r="M9" s="1441"/>
      <c r="N9" s="27"/>
      <c r="O9" s="1241"/>
      <c r="P9" s="47" t="s">
        <v>210</v>
      </c>
      <c r="Q9" s="52" t="s">
        <v>395</v>
      </c>
      <c r="R9" s="218"/>
      <c r="S9" s="642"/>
    </row>
    <row r="10" spans="1:20" ht="15.75" customHeight="1" thickBot="1">
      <c r="A10" s="6"/>
      <c r="B10" s="38" t="s">
        <v>5</v>
      </c>
      <c r="C10" s="912" t="s">
        <v>6</v>
      </c>
      <c r="D10" s="1259"/>
      <c r="E10" s="95"/>
      <c r="F10" s="21" t="s">
        <v>7</v>
      </c>
      <c r="G10" s="51" t="s">
        <v>1</v>
      </c>
      <c r="H10" s="22" t="s">
        <v>0</v>
      </c>
      <c r="I10" s="645" t="s">
        <v>138</v>
      </c>
      <c r="J10" s="75"/>
      <c r="K10" s="146" t="s">
        <v>9</v>
      </c>
      <c r="L10" s="1304">
        <v>12</v>
      </c>
      <c r="M10" s="1442"/>
      <c r="N10" s="100"/>
      <c r="O10" s="1268"/>
      <c r="P10" s="160" t="s">
        <v>210</v>
      </c>
      <c r="Q10" s="161" t="s">
        <v>396</v>
      </c>
      <c r="R10" s="861"/>
      <c r="S10" s="642"/>
    </row>
    <row r="11" spans="1:20" ht="15.75" customHeight="1">
      <c r="A11" s="6"/>
      <c r="B11" s="49"/>
      <c r="C11" s="1295" t="s">
        <v>1409</v>
      </c>
      <c r="D11" s="1241"/>
      <c r="E11" s="95"/>
      <c r="F11" s="1092"/>
      <c r="G11" s="47" t="s">
        <v>620</v>
      </c>
      <c r="H11" s="52" t="s">
        <v>619</v>
      </c>
      <c r="I11" s="670">
        <v>26065</v>
      </c>
      <c r="J11" s="75"/>
      <c r="K11" s="133" t="s">
        <v>9</v>
      </c>
      <c r="L11" s="1245">
        <v>24</v>
      </c>
      <c r="M11" s="1443"/>
      <c r="N11" s="27"/>
      <c r="O11" s="1326"/>
      <c r="P11" s="47" t="s">
        <v>150</v>
      </c>
      <c r="Q11" s="52" t="s">
        <v>348</v>
      </c>
      <c r="R11" s="862"/>
      <c r="S11" s="642"/>
    </row>
    <row r="12" spans="1:20" ht="15.75" customHeight="1">
      <c r="A12" s="6"/>
      <c r="B12" s="2445" t="s">
        <v>923</v>
      </c>
      <c r="C12" s="2446"/>
      <c r="D12" s="1278"/>
      <c r="E12" s="95"/>
      <c r="F12" s="432"/>
      <c r="G12" s="433" t="s">
        <v>620</v>
      </c>
      <c r="H12" s="434" t="s">
        <v>621</v>
      </c>
      <c r="I12" s="671">
        <v>37009</v>
      </c>
      <c r="J12" s="75"/>
      <c r="K12" s="48" t="s">
        <v>9</v>
      </c>
      <c r="L12" s="1296">
        <v>20</v>
      </c>
      <c r="M12" s="1372"/>
      <c r="N12" s="27"/>
      <c r="O12" s="1240"/>
      <c r="P12" s="23" t="s">
        <v>150</v>
      </c>
      <c r="Q12" s="24" t="s">
        <v>349</v>
      </c>
      <c r="R12" s="219"/>
      <c r="S12" s="642"/>
    </row>
    <row r="13" spans="1:20" ht="15.75" customHeight="1">
      <c r="A13" s="6"/>
      <c r="B13" s="49"/>
      <c r="C13" s="1295" t="s">
        <v>1409</v>
      </c>
      <c r="D13" s="1241"/>
      <c r="E13" s="95"/>
      <c r="F13" s="1092"/>
      <c r="G13" s="47" t="s">
        <v>620</v>
      </c>
      <c r="H13" s="52" t="s">
        <v>623</v>
      </c>
      <c r="I13" s="670">
        <v>40419</v>
      </c>
      <c r="J13" s="75"/>
      <c r="K13" s="49" t="s">
        <v>9</v>
      </c>
      <c r="L13" s="1295">
        <v>6</v>
      </c>
      <c r="M13" s="1441"/>
      <c r="N13" s="27"/>
      <c r="O13" s="1241"/>
      <c r="P13" s="47" t="s">
        <v>150</v>
      </c>
      <c r="Q13" s="52" t="s">
        <v>350</v>
      </c>
      <c r="R13" s="218"/>
      <c r="S13" s="642"/>
    </row>
    <row r="14" spans="1:20" ht="15.75" customHeight="1">
      <c r="A14" s="6"/>
      <c r="B14" s="48"/>
      <c r="C14" s="1296" t="s">
        <v>1409</v>
      </c>
      <c r="D14" s="1240"/>
      <c r="E14" s="1300"/>
      <c r="F14" s="1100"/>
      <c r="G14" s="23" t="s">
        <v>620</v>
      </c>
      <c r="H14" s="118" t="s">
        <v>624</v>
      </c>
      <c r="I14" s="672">
        <v>29072</v>
      </c>
      <c r="J14" s="75"/>
      <c r="K14" s="48" t="s">
        <v>9</v>
      </c>
      <c r="L14" s="1296">
        <v>12</v>
      </c>
      <c r="M14" s="1372"/>
      <c r="N14" s="27"/>
      <c r="O14" s="1240"/>
      <c r="P14" s="23" t="s">
        <v>150</v>
      </c>
      <c r="Q14" s="24" t="s">
        <v>351</v>
      </c>
      <c r="R14" s="219"/>
      <c r="S14" s="642"/>
    </row>
    <row r="15" spans="1:20" ht="15.75" customHeight="1">
      <c r="A15" s="6"/>
      <c r="B15" s="49"/>
      <c r="C15" s="1295" t="s">
        <v>1409</v>
      </c>
      <c r="D15" s="1241"/>
      <c r="E15" s="1300"/>
      <c r="F15" s="1092"/>
      <c r="G15" s="47" t="s">
        <v>620</v>
      </c>
      <c r="H15" s="52" t="s">
        <v>625</v>
      </c>
      <c r="I15" s="670">
        <v>37000</v>
      </c>
      <c r="J15" s="75"/>
      <c r="K15" s="49" t="s">
        <v>9</v>
      </c>
      <c r="L15" s="1295">
        <v>8</v>
      </c>
      <c r="M15" s="1441"/>
      <c r="N15" s="27"/>
      <c r="O15" s="1241"/>
      <c r="P15" s="47" t="s">
        <v>150</v>
      </c>
      <c r="Q15" s="52" t="s">
        <v>352</v>
      </c>
      <c r="R15" s="218"/>
      <c r="S15" s="642"/>
    </row>
    <row r="16" spans="1:20" ht="16.5" thickBot="1">
      <c r="A16" s="6"/>
      <c r="B16" s="2447" t="s">
        <v>1412</v>
      </c>
      <c r="C16" s="2448"/>
      <c r="D16" s="1260"/>
      <c r="E16" s="1300"/>
      <c r="F16" s="1091"/>
      <c r="G16" s="252" t="s">
        <v>620</v>
      </c>
      <c r="H16" s="253" t="s">
        <v>626</v>
      </c>
      <c r="I16" s="673">
        <v>37045</v>
      </c>
      <c r="J16" s="75"/>
      <c r="K16" s="1930" t="s">
        <v>923</v>
      </c>
      <c r="L16" s="2455"/>
      <c r="M16" s="1444"/>
      <c r="N16" s="100"/>
      <c r="O16" s="1268"/>
      <c r="P16" s="101" t="s">
        <v>150</v>
      </c>
      <c r="Q16" s="102" t="s">
        <v>884</v>
      </c>
      <c r="R16" s="863"/>
      <c r="S16" s="642"/>
    </row>
    <row r="17" spans="1:19" ht="15.75" customHeight="1">
      <c r="A17" s="6"/>
      <c r="B17" s="1928" t="s">
        <v>923</v>
      </c>
      <c r="C17" s="1929"/>
      <c r="D17" s="1241"/>
      <c r="E17" s="1300"/>
      <c r="F17" s="346"/>
      <c r="G17" s="47" t="s">
        <v>620</v>
      </c>
      <c r="H17" s="52" t="s">
        <v>627</v>
      </c>
      <c r="I17" s="670">
        <v>24000</v>
      </c>
      <c r="J17" s="75"/>
      <c r="K17" s="133" t="s">
        <v>9</v>
      </c>
      <c r="L17" s="1245">
        <v>2</v>
      </c>
      <c r="M17" s="1445"/>
      <c r="N17" s="27"/>
      <c r="O17" s="1326"/>
      <c r="P17" s="47" t="s">
        <v>150</v>
      </c>
      <c r="Q17" s="52" t="s">
        <v>218</v>
      </c>
      <c r="R17" s="862"/>
      <c r="S17" s="642"/>
    </row>
    <row r="18" spans="1:19" ht="15.75" customHeight="1">
      <c r="A18" s="6"/>
      <c r="B18" s="293" t="s">
        <v>1408</v>
      </c>
      <c r="C18" s="1297" t="s">
        <v>451</v>
      </c>
      <c r="D18" s="1279"/>
      <c r="E18" s="1300"/>
      <c r="F18" s="1101"/>
      <c r="G18" s="294" t="s">
        <v>620</v>
      </c>
      <c r="H18" s="295" t="s">
        <v>628</v>
      </c>
      <c r="I18" s="674">
        <v>31000</v>
      </c>
      <c r="J18" s="75"/>
      <c r="K18" s="48" t="s">
        <v>9</v>
      </c>
      <c r="L18" s="1296">
        <v>4</v>
      </c>
      <c r="M18" s="1446"/>
      <c r="N18" s="27"/>
      <c r="O18" s="1240"/>
      <c r="P18" s="23" t="s">
        <v>150</v>
      </c>
      <c r="Q18" s="24" t="s">
        <v>219</v>
      </c>
      <c r="R18" s="219"/>
      <c r="S18" s="642"/>
    </row>
    <row r="19" spans="1:19" ht="15.75" customHeight="1" thickBot="1">
      <c r="A19" s="6"/>
      <c r="B19" s="50" t="s">
        <v>1411</v>
      </c>
      <c r="C19" s="1298" t="s">
        <v>1410</v>
      </c>
      <c r="D19" s="1243"/>
      <c r="E19" s="1365"/>
      <c r="F19" s="1102"/>
      <c r="G19" s="303" t="s">
        <v>629</v>
      </c>
      <c r="H19" s="91" t="s">
        <v>630</v>
      </c>
      <c r="I19" s="675">
        <v>53110</v>
      </c>
      <c r="J19" s="75"/>
      <c r="K19" s="49" t="s">
        <v>9</v>
      </c>
      <c r="L19" s="1295">
        <v>3</v>
      </c>
      <c r="M19" s="1447"/>
      <c r="N19" s="27"/>
      <c r="O19" s="1241"/>
      <c r="P19" s="47" t="s">
        <v>150</v>
      </c>
      <c r="Q19" s="52" t="s">
        <v>220</v>
      </c>
      <c r="R19" s="218"/>
      <c r="S19" s="642"/>
    </row>
    <row r="20" spans="1:19" ht="15.75" customHeight="1">
      <c r="A20" s="6"/>
      <c r="B20" s="1864" t="s">
        <v>182</v>
      </c>
      <c r="C20" s="1299">
        <v>1</v>
      </c>
      <c r="D20" s="1364"/>
      <c r="E20" s="1300"/>
      <c r="F20" s="349"/>
      <c r="G20" s="297" t="s">
        <v>620</v>
      </c>
      <c r="H20" s="298" t="s">
        <v>622</v>
      </c>
      <c r="I20" s="676">
        <v>24000</v>
      </c>
      <c r="J20" s="75"/>
      <c r="K20" s="48" t="s">
        <v>9</v>
      </c>
      <c r="L20" s="1296">
        <v>1</v>
      </c>
      <c r="M20" s="1446"/>
      <c r="N20" s="27"/>
      <c r="O20" s="1240"/>
      <c r="P20" s="23" t="s">
        <v>150</v>
      </c>
      <c r="Q20" s="24" t="s">
        <v>222</v>
      </c>
      <c r="R20" s="219"/>
      <c r="S20" s="642"/>
    </row>
    <row r="21" spans="1:19" ht="15.75" customHeight="1">
      <c r="A21" s="6"/>
      <c r="B21" s="1865" t="s">
        <v>182</v>
      </c>
      <c r="C21" s="1295">
        <v>3</v>
      </c>
      <c r="D21" s="1241"/>
      <c r="E21" s="1300"/>
      <c r="F21" s="1092"/>
      <c r="G21" s="47" t="s">
        <v>145</v>
      </c>
      <c r="H21" s="485" t="s">
        <v>720</v>
      </c>
      <c r="I21" s="670">
        <f>17300/10</f>
        <v>1730</v>
      </c>
      <c r="J21" s="75"/>
      <c r="K21" s="49" t="s">
        <v>9</v>
      </c>
      <c r="L21" s="1295">
        <v>2</v>
      </c>
      <c r="M21" s="1447"/>
      <c r="N21" s="27"/>
      <c r="O21" s="1241"/>
      <c r="P21" s="47" t="s">
        <v>150</v>
      </c>
      <c r="Q21" s="52" t="s">
        <v>224</v>
      </c>
      <c r="R21" s="218"/>
      <c r="S21" s="642"/>
    </row>
    <row r="22" spans="1:19" ht="15.75" customHeight="1" thickBot="1">
      <c r="A22" s="6"/>
      <c r="B22" s="1924" t="s">
        <v>923</v>
      </c>
      <c r="C22" s="2437"/>
      <c r="D22" s="1302"/>
      <c r="E22" s="1300"/>
      <c r="F22" s="347"/>
      <c r="G22" s="486" t="s">
        <v>145</v>
      </c>
      <c r="H22" s="255" t="s">
        <v>722</v>
      </c>
      <c r="I22" s="677"/>
      <c r="J22" s="75"/>
      <c r="K22" s="146" t="s">
        <v>9</v>
      </c>
      <c r="L22" s="1265">
        <v>1</v>
      </c>
      <c r="M22" s="1448"/>
      <c r="N22" s="100"/>
      <c r="O22" s="1268"/>
      <c r="P22" s="160" t="s">
        <v>150</v>
      </c>
      <c r="Q22" s="161" t="s">
        <v>225</v>
      </c>
      <c r="R22" s="861"/>
      <c r="S22" s="642"/>
    </row>
    <row r="23" spans="1:19" ht="15.75" customHeight="1" thickBot="1">
      <c r="A23" s="6"/>
      <c r="B23" s="2449" t="s">
        <v>923</v>
      </c>
      <c r="C23" s="2450"/>
      <c r="D23" s="1243"/>
      <c r="E23" s="1301"/>
      <c r="F23" s="348"/>
      <c r="G23" s="97" t="s">
        <v>721</v>
      </c>
      <c r="H23" s="91" t="s">
        <v>612</v>
      </c>
      <c r="I23" s="678">
        <v>9100</v>
      </c>
      <c r="J23" s="75"/>
      <c r="K23" s="133" t="s">
        <v>9</v>
      </c>
      <c r="L23" s="1245">
        <v>4</v>
      </c>
      <c r="M23" s="1445"/>
      <c r="N23" s="27"/>
      <c r="O23" s="1326"/>
      <c r="P23" s="47" t="s">
        <v>150</v>
      </c>
      <c r="Q23" s="52" t="s">
        <v>915</v>
      </c>
      <c r="R23" s="862"/>
      <c r="S23" s="642"/>
    </row>
    <row r="24" spans="1:19" ht="15.75">
      <c r="A24" s="6"/>
      <c r="B24" s="2438" t="s">
        <v>903</v>
      </c>
      <c r="C24" s="2439"/>
      <c r="D24" s="2440"/>
      <c r="E24" s="2439"/>
      <c r="F24" s="2439"/>
      <c r="G24" s="2439"/>
      <c r="H24" s="2439"/>
      <c r="I24" s="2441"/>
      <c r="J24" s="75"/>
      <c r="K24" s="48" t="s">
        <v>9</v>
      </c>
      <c r="L24" s="1296">
        <v>4</v>
      </c>
      <c r="M24" s="1446"/>
      <c r="N24" s="27"/>
      <c r="O24" s="1240"/>
      <c r="P24" s="23" t="s">
        <v>150</v>
      </c>
      <c r="Q24" s="24" t="s">
        <v>916</v>
      </c>
      <c r="R24" s="219"/>
      <c r="S24" s="642"/>
    </row>
    <row r="25" spans="1:19" ht="16.5" thickBot="1">
      <c r="A25" s="6"/>
      <c r="B25" s="2442"/>
      <c r="C25" s="2443"/>
      <c r="D25" s="2443"/>
      <c r="E25" s="2443"/>
      <c r="F25" s="2443"/>
      <c r="G25" s="2443"/>
      <c r="H25" s="2443"/>
      <c r="I25" s="2444"/>
      <c r="J25" s="75"/>
      <c r="K25" s="49" t="s">
        <v>9</v>
      </c>
      <c r="L25" s="1295">
        <v>6</v>
      </c>
      <c r="M25" s="1447"/>
      <c r="N25" s="27"/>
      <c r="O25" s="1241"/>
      <c r="P25" s="47" t="s">
        <v>150</v>
      </c>
      <c r="Q25" s="52" t="s">
        <v>917</v>
      </c>
      <c r="R25" s="218"/>
      <c r="S25" s="642"/>
    </row>
    <row r="26" spans="1:19" ht="15.75" customHeight="1" thickBot="1">
      <c r="A26" s="6"/>
      <c r="J26" s="75"/>
      <c r="K26" s="48" t="s">
        <v>9</v>
      </c>
      <c r="L26" s="1296">
        <v>1</v>
      </c>
      <c r="M26" s="1449"/>
      <c r="N26" s="27"/>
      <c r="O26" s="1240"/>
      <c r="P26" s="23" t="s">
        <v>150</v>
      </c>
      <c r="Q26" s="24" t="s">
        <v>354</v>
      </c>
      <c r="R26" s="219"/>
      <c r="S26" s="642"/>
    </row>
    <row r="27" spans="1:19" ht="15.75" customHeight="1">
      <c r="A27" s="6"/>
      <c r="B27" s="2332" t="s">
        <v>640</v>
      </c>
      <c r="C27" s="2425"/>
      <c r="D27" s="2432" t="s">
        <v>1174</v>
      </c>
      <c r="E27" s="682"/>
      <c r="F27" s="1938" t="s">
        <v>865</v>
      </c>
      <c r="G27" s="1968"/>
      <c r="H27" s="90" t="s">
        <v>423</v>
      </c>
      <c r="I27" s="693" t="s">
        <v>723</v>
      </c>
      <c r="J27" s="75"/>
      <c r="K27" s="49" t="s">
        <v>9</v>
      </c>
      <c r="L27" s="1295" t="s">
        <v>9</v>
      </c>
      <c r="M27" s="1450"/>
      <c r="N27" s="27"/>
      <c r="O27" s="1241"/>
      <c r="P27" s="47" t="s">
        <v>150</v>
      </c>
      <c r="Q27" s="52" t="s">
        <v>355</v>
      </c>
      <c r="R27" s="218"/>
      <c r="S27" s="642"/>
    </row>
    <row r="28" spans="1:19" ht="15.75" customHeight="1">
      <c r="A28" s="6"/>
      <c r="B28" s="2426"/>
      <c r="C28" s="2427"/>
      <c r="D28" s="2433"/>
      <c r="E28" s="683"/>
      <c r="F28" s="1969"/>
      <c r="G28" s="1970"/>
      <c r="H28" s="713" t="s">
        <v>422</v>
      </c>
      <c r="I28" s="646"/>
      <c r="K28" s="48" t="s">
        <v>9</v>
      </c>
      <c r="L28" s="1296" t="s">
        <v>9</v>
      </c>
      <c r="M28" s="1446"/>
      <c r="N28" s="27"/>
      <c r="O28" s="1240"/>
      <c r="P28" s="23" t="s">
        <v>150</v>
      </c>
      <c r="Q28" s="24" t="s">
        <v>356</v>
      </c>
      <c r="R28" s="219"/>
      <c r="S28" s="642"/>
    </row>
    <row r="29" spans="1:19" ht="15.75" customHeight="1" thickBot="1">
      <c r="A29" s="6"/>
      <c r="B29" s="2428"/>
      <c r="C29" s="2429"/>
      <c r="D29" s="2434"/>
      <c r="E29" s="683"/>
      <c r="F29" s="1966"/>
      <c r="G29" s="2319"/>
      <c r="H29" s="714" t="s">
        <v>679</v>
      </c>
      <c r="I29" s="712">
        <v>45832</v>
      </c>
      <c r="K29" s="50" t="s">
        <v>9</v>
      </c>
      <c r="L29" s="1298" t="s">
        <v>9</v>
      </c>
      <c r="M29" s="1451"/>
      <c r="N29" s="100"/>
      <c r="O29" s="1243"/>
      <c r="P29" s="97" t="s">
        <v>150</v>
      </c>
      <c r="Q29" s="91" t="s">
        <v>227</v>
      </c>
      <c r="R29" s="864"/>
      <c r="S29" s="642"/>
    </row>
    <row r="30" spans="1:19" ht="15.75" customHeight="1" thickBot="1">
      <c r="A30" s="6"/>
      <c r="B30" s="666" t="s">
        <v>5</v>
      </c>
      <c r="C30" s="1303" t="s">
        <v>6</v>
      </c>
      <c r="D30" s="1866"/>
      <c r="E30" s="683"/>
      <c r="F30" s="725" t="s">
        <v>7</v>
      </c>
      <c r="G30" s="157" t="s">
        <v>1</v>
      </c>
      <c r="H30" s="726" t="s">
        <v>0</v>
      </c>
      <c r="I30" s="727" t="s">
        <v>138</v>
      </c>
      <c r="K30" s="2391" t="s">
        <v>923</v>
      </c>
      <c r="L30" s="2456"/>
      <c r="M30" s="1452"/>
      <c r="N30" s="27"/>
      <c r="O30" s="1319"/>
      <c r="P30" s="69" t="s">
        <v>271</v>
      </c>
      <c r="Q30" s="70" t="s">
        <v>392</v>
      </c>
      <c r="R30" s="1327">
        <v>3457</v>
      </c>
      <c r="S30" s="642"/>
    </row>
    <row r="31" spans="1:19" ht="15.75" customHeight="1">
      <c r="A31" s="6"/>
      <c r="B31" s="1982" t="s">
        <v>923</v>
      </c>
      <c r="C31" s="1983"/>
      <c r="D31" s="1316"/>
      <c r="E31" s="843"/>
      <c r="F31" s="853"/>
      <c r="G31" s="854" t="s">
        <v>233</v>
      </c>
      <c r="H31" s="855" t="s">
        <v>637</v>
      </c>
      <c r="I31" s="856">
        <v>4490</v>
      </c>
      <c r="K31" s="1928" t="s">
        <v>923</v>
      </c>
      <c r="L31" s="2406"/>
      <c r="M31" s="1450"/>
      <c r="N31" s="27"/>
      <c r="O31" s="1241"/>
      <c r="P31" s="47" t="s">
        <v>240</v>
      </c>
      <c r="Q31" s="52" t="s">
        <v>458</v>
      </c>
      <c r="R31" s="218"/>
      <c r="S31" s="642"/>
    </row>
    <row r="32" spans="1:19" ht="15.75" customHeight="1">
      <c r="A32" s="6"/>
      <c r="B32" s="1924" t="s">
        <v>923</v>
      </c>
      <c r="C32" s="1925"/>
      <c r="D32" s="1240"/>
      <c r="E32" s="684"/>
      <c r="F32" s="844"/>
      <c r="G32" s="845" t="s">
        <v>866</v>
      </c>
      <c r="H32" s="846" t="s">
        <v>221</v>
      </c>
      <c r="I32" s="643">
        <v>19990</v>
      </c>
      <c r="K32" s="1924" t="s">
        <v>923</v>
      </c>
      <c r="L32" s="2407"/>
      <c r="M32" s="1449"/>
      <c r="N32" s="27"/>
      <c r="O32" s="1240"/>
      <c r="P32" s="16" t="s">
        <v>580</v>
      </c>
      <c r="Q32" s="9" t="s">
        <v>579</v>
      </c>
      <c r="R32" s="219"/>
      <c r="S32" s="642"/>
    </row>
    <row r="33" spans="1:24" ht="15.75" customHeight="1">
      <c r="A33" s="6"/>
      <c r="B33" s="1978" t="s">
        <v>923</v>
      </c>
      <c r="C33" s="1979"/>
      <c r="D33" s="1238"/>
      <c r="E33" s="476"/>
      <c r="F33" s="706"/>
      <c r="G33" s="123" t="s">
        <v>868</v>
      </c>
      <c r="H33" s="656" t="s">
        <v>223</v>
      </c>
      <c r="I33" s="707">
        <v>11190</v>
      </c>
      <c r="K33" s="1928" t="s">
        <v>923</v>
      </c>
      <c r="L33" s="2406"/>
      <c r="M33" s="1450"/>
      <c r="N33" s="27"/>
      <c r="O33" s="1241"/>
      <c r="P33" s="881" t="s">
        <v>386</v>
      </c>
      <c r="Q33" s="250" t="s">
        <v>387</v>
      </c>
      <c r="R33" s="1328">
        <v>4120</v>
      </c>
      <c r="S33" s="642"/>
    </row>
    <row r="34" spans="1:24" ht="15.75" customHeight="1" thickBot="1">
      <c r="A34" s="6"/>
      <c r="B34" s="1924" t="s">
        <v>923</v>
      </c>
      <c r="C34" s="1925"/>
      <c r="D34" s="1240"/>
      <c r="E34" s="684"/>
      <c r="F34" s="844"/>
      <c r="G34" s="845" t="s">
        <v>871</v>
      </c>
      <c r="H34" s="846" t="s">
        <v>638</v>
      </c>
      <c r="I34" s="643">
        <v>6990</v>
      </c>
      <c r="K34" s="1930" t="s">
        <v>923</v>
      </c>
      <c r="L34" s="2455"/>
      <c r="M34" s="1453"/>
      <c r="N34" s="100"/>
      <c r="O34" s="1268"/>
      <c r="P34" s="304" t="s">
        <v>386</v>
      </c>
      <c r="Q34" s="305" t="s">
        <v>388</v>
      </c>
      <c r="R34" s="861"/>
      <c r="S34" s="642"/>
    </row>
    <row r="35" spans="1:24" ht="15.75">
      <c r="A35" s="6"/>
      <c r="B35" s="1978" t="s">
        <v>923</v>
      </c>
      <c r="C35" s="1979"/>
      <c r="D35" s="1238"/>
      <c r="E35" s="476"/>
      <c r="F35" s="706"/>
      <c r="G35" s="123" t="s">
        <v>233</v>
      </c>
      <c r="H35" s="656" t="s">
        <v>206</v>
      </c>
      <c r="I35" s="707">
        <v>13990</v>
      </c>
      <c r="K35" s="248" t="s">
        <v>182</v>
      </c>
      <c r="L35" s="1367" t="s">
        <v>1409</v>
      </c>
      <c r="M35" s="1454"/>
      <c r="N35" s="27"/>
      <c r="O35" s="1364"/>
      <c r="P35" s="16" t="s">
        <v>574</v>
      </c>
      <c r="Q35" s="9" t="s">
        <v>567</v>
      </c>
      <c r="R35" s="701"/>
      <c r="S35" s="642"/>
    </row>
    <row r="36" spans="1:24" ht="15.75">
      <c r="A36" s="6"/>
      <c r="B36" s="1924" t="s">
        <v>923</v>
      </c>
      <c r="C36" s="1925"/>
      <c r="D36" s="1240"/>
      <c r="E36" s="476"/>
      <c r="F36" s="848"/>
      <c r="G36" s="849" t="s">
        <v>233</v>
      </c>
      <c r="H36" s="850" t="s">
        <v>209</v>
      </c>
      <c r="I36" s="851">
        <v>17990</v>
      </c>
      <c r="K36" s="2461" t="s">
        <v>923</v>
      </c>
      <c r="L36" s="2462"/>
      <c r="M36" s="1371"/>
      <c r="N36" s="27"/>
      <c r="O36" s="1267"/>
      <c r="P36" s="302" t="s">
        <v>247</v>
      </c>
      <c r="Q36" s="1880" t="s">
        <v>568</v>
      </c>
      <c r="R36" s="865" t="s">
        <v>550</v>
      </c>
      <c r="S36" s="642"/>
    </row>
    <row r="37" spans="1:24" ht="15.75">
      <c r="A37" s="6"/>
      <c r="B37" s="1978" t="s">
        <v>923</v>
      </c>
      <c r="C37" s="1979"/>
      <c r="D37" s="1238"/>
      <c r="E37" s="684"/>
      <c r="F37" s="328"/>
      <c r="G37" s="123" t="s">
        <v>233</v>
      </c>
      <c r="H37" s="507" t="s">
        <v>226</v>
      </c>
      <c r="I37" s="218">
        <v>4190</v>
      </c>
      <c r="K37" s="186" t="s">
        <v>182</v>
      </c>
      <c r="L37" s="1879" t="s">
        <v>1409</v>
      </c>
      <c r="M37" s="1372"/>
      <c r="N37" s="27"/>
      <c r="O37" s="1279"/>
      <c r="P37" s="1040" t="s">
        <v>247</v>
      </c>
      <c r="Q37" s="181" t="s">
        <v>569</v>
      </c>
      <c r="R37" s="866" t="s">
        <v>446</v>
      </c>
      <c r="S37" s="642"/>
    </row>
    <row r="38" spans="1:24" ht="15.75">
      <c r="A38" s="6"/>
      <c r="B38" s="1924" t="s">
        <v>923</v>
      </c>
      <c r="C38" s="1925"/>
      <c r="D38" s="1240"/>
      <c r="E38" s="684"/>
      <c r="F38" s="844"/>
      <c r="G38" s="845" t="s">
        <v>233</v>
      </c>
      <c r="H38" s="852" t="s">
        <v>867</v>
      </c>
      <c r="I38" s="643">
        <v>3990</v>
      </c>
      <c r="K38" s="2459" t="s">
        <v>549</v>
      </c>
      <c r="L38" s="2460"/>
      <c r="M38" s="1456"/>
      <c r="N38" s="27"/>
      <c r="O38" s="1267"/>
      <c r="P38" s="302" t="s">
        <v>247</v>
      </c>
      <c r="Q38" s="249" t="s">
        <v>570</v>
      </c>
      <c r="R38" s="867" t="s">
        <v>549</v>
      </c>
      <c r="S38" s="642"/>
    </row>
    <row r="39" spans="1:24" ht="15.75">
      <c r="A39" s="6"/>
      <c r="B39" s="1978" t="s">
        <v>923</v>
      </c>
      <c r="C39" s="1979"/>
      <c r="D39" s="1238"/>
      <c r="E39" s="684"/>
      <c r="F39" s="328"/>
      <c r="G39" s="123" t="s">
        <v>233</v>
      </c>
      <c r="H39" s="507" t="s">
        <v>882</v>
      </c>
      <c r="I39" s="218">
        <v>10990</v>
      </c>
      <c r="K39" s="186" t="s">
        <v>182</v>
      </c>
      <c r="L39" s="1879" t="s">
        <v>1409</v>
      </c>
      <c r="M39" s="1455"/>
      <c r="N39" s="27"/>
      <c r="O39" s="1279"/>
      <c r="P39" s="1040" t="s">
        <v>247</v>
      </c>
      <c r="Q39" s="9" t="s">
        <v>571</v>
      </c>
      <c r="R39" s="219"/>
      <c r="S39" s="642"/>
    </row>
    <row r="40" spans="1:24" ht="15.75">
      <c r="A40" s="6"/>
      <c r="B40" s="1924" t="s">
        <v>923</v>
      </c>
      <c r="C40" s="1925"/>
      <c r="D40" s="1240"/>
      <c r="E40" s="684"/>
      <c r="F40" s="625"/>
      <c r="G40" s="847" t="s">
        <v>233</v>
      </c>
      <c r="H40" s="657" t="s">
        <v>883</v>
      </c>
      <c r="I40" s="643">
        <v>11990</v>
      </c>
      <c r="K40" s="185" t="s">
        <v>182</v>
      </c>
      <c r="L40" s="1417" t="s">
        <v>1409</v>
      </c>
      <c r="M40" s="1372"/>
      <c r="N40" s="27"/>
      <c r="O40" s="1267"/>
      <c r="P40" s="302" t="s">
        <v>247</v>
      </c>
      <c r="Q40" s="250" t="s">
        <v>572</v>
      </c>
      <c r="R40" s="865" t="s">
        <v>550</v>
      </c>
      <c r="S40" s="642"/>
    </row>
    <row r="41" spans="1:24" ht="15.75">
      <c r="A41" s="6"/>
      <c r="B41" s="1978" t="s">
        <v>923</v>
      </c>
      <c r="C41" s="1979"/>
      <c r="D41" s="1238"/>
      <c r="E41" s="685"/>
      <c r="F41" s="350"/>
      <c r="G41" s="25" t="s">
        <v>233</v>
      </c>
      <c r="H41" s="640" t="s">
        <v>881</v>
      </c>
      <c r="I41" s="218">
        <v>4190</v>
      </c>
      <c r="K41" s="2457" t="s">
        <v>923</v>
      </c>
      <c r="L41" s="2458"/>
      <c r="M41" s="1457"/>
      <c r="N41" s="27"/>
      <c r="O41" s="1239"/>
      <c r="P41" s="1040" t="s">
        <v>247</v>
      </c>
      <c r="Q41" s="301" t="s">
        <v>573</v>
      </c>
      <c r="R41" s="868"/>
      <c r="S41" s="642"/>
    </row>
    <row r="42" spans="1:24" ht="15.75" customHeight="1" thickBot="1">
      <c r="A42" s="6"/>
      <c r="B42" s="1924" t="s">
        <v>923</v>
      </c>
      <c r="C42" s="1925"/>
      <c r="D42" s="1240"/>
      <c r="E42" s="684"/>
      <c r="F42" s="351"/>
      <c r="G42" s="23" t="s">
        <v>233</v>
      </c>
      <c r="H42" s="657" t="s">
        <v>869</v>
      </c>
      <c r="I42" s="643">
        <v>13990</v>
      </c>
      <c r="K42" s="1878" t="s">
        <v>182</v>
      </c>
      <c r="L42" s="1305" t="s">
        <v>451</v>
      </c>
      <c r="M42" s="1881"/>
      <c r="N42" s="610"/>
      <c r="O42" s="1262"/>
      <c r="P42" s="838" t="s">
        <v>247</v>
      </c>
      <c r="Q42" s="296" t="s">
        <v>347</v>
      </c>
      <c r="R42" s="869"/>
      <c r="S42" s="642"/>
    </row>
    <row r="43" spans="1:24" ht="15.75" customHeight="1" thickBot="1">
      <c r="A43" s="6"/>
      <c r="B43" s="1978" t="s">
        <v>923</v>
      </c>
      <c r="C43" s="1979"/>
      <c r="D43" s="1238"/>
      <c r="E43" s="685"/>
      <c r="F43" s="350"/>
      <c r="G43" s="25" t="s">
        <v>233</v>
      </c>
      <c r="H43" s="507" t="s">
        <v>228</v>
      </c>
      <c r="I43" s="218">
        <v>13990</v>
      </c>
      <c r="K43" s="642"/>
      <c r="S43" s="642"/>
    </row>
    <row r="44" spans="1:24" ht="15.75">
      <c r="A44" s="6"/>
      <c r="B44" s="1924" t="s">
        <v>923</v>
      </c>
      <c r="C44" s="1925"/>
      <c r="D44" s="1240"/>
      <c r="E44" s="685"/>
      <c r="F44" s="351"/>
      <c r="G44" s="23" t="s">
        <v>229</v>
      </c>
      <c r="H44" s="658" t="s">
        <v>230</v>
      </c>
      <c r="I44" s="219">
        <v>4090</v>
      </c>
      <c r="K44" s="2332" t="s">
        <v>640</v>
      </c>
      <c r="L44" s="2333"/>
      <c r="M44" s="2329" t="s">
        <v>1174</v>
      </c>
      <c r="N44" s="43"/>
      <c r="O44" s="1918" t="s">
        <v>231</v>
      </c>
      <c r="P44" s="2374"/>
      <c r="Q44" s="46" t="s">
        <v>342</v>
      </c>
      <c r="R44" s="870" t="s">
        <v>724</v>
      </c>
    </row>
    <row r="45" spans="1:24" ht="15.75">
      <c r="A45" s="6"/>
      <c r="B45" s="1978" t="s">
        <v>923</v>
      </c>
      <c r="C45" s="1979"/>
      <c r="D45" s="1238"/>
      <c r="E45" s="685"/>
      <c r="F45" s="350"/>
      <c r="G45" s="25" t="s">
        <v>233</v>
      </c>
      <c r="H45" s="507" t="s">
        <v>232</v>
      </c>
      <c r="I45" s="218">
        <v>16490</v>
      </c>
      <c r="K45" s="2422"/>
      <c r="L45" s="2423"/>
      <c r="M45" s="2330"/>
      <c r="N45" s="27"/>
      <c r="O45" s="2375"/>
      <c r="P45" s="2376"/>
      <c r="Q45" s="14" t="s">
        <v>425</v>
      </c>
      <c r="R45" s="219"/>
      <c r="X45" s="324"/>
    </row>
    <row r="46" spans="1:24" ht="15.75">
      <c r="A46" s="6"/>
      <c r="B46" s="1924" t="s">
        <v>923</v>
      </c>
      <c r="C46" s="1925"/>
      <c r="D46" s="1240"/>
      <c r="E46" s="685"/>
      <c r="F46" s="351"/>
      <c r="G46" s="23" t="s">
        <v>233</v>
      </c>
      <c r="H46" s="658" t="s">
        <v>870</v>
      </c>
      <c r="I46" s="219">
        <v>4490</v>
      </c>
      <c r="K46" s="38" t="s">
        <v>5</v>
      </c>
      <c r="L46" s="912" t="s">
        <v>6</v>
      </c>
      <c r="M46" s="1710"/>
      <c r="N46" s="27"/>
      <c r="O46" s="21" t="s">
        <v>7</v>
      </c>
      <c r="P46" s="51" t="s">
        <v>1</v>
      </c>
      <c r="Q46" s="22" t="s">
        <v>0</v>
      </c>
      <c r="R46" s="645" t="s">
        <v>138</v>
      </c>
    </row>
    <row r="47" spans="1:24" ht="15.75">
      <c r="A47" s="6"/>
      <c r="B47" s="1978" t="s">
        <v>923</v>
      </c>
      <c r="C47" s="1979"/>
      <c r="D47" s="1238"/>
      <c r="E47" s="685"/>
      <c r="F47" s="706"/>
      <c r="G47" s="123" t="s">
        <v>214</v>
      </c>
      <c r="H47" s="656" t="s">
        <v>215</v>
      </c>
      <c r="I47" s="707">
        <v>12990</v>
      </c>
      <c r="K47" s="1928" t="s">
        <v>923</v>
      </c>
      <c r="L47" s="1929"/>
      <c r="M47" s="1711"/>
      <c r="N47" s="1309"/>
      <c r="O47" s="1258"/>
      <c r="P47" s="25" t="s">
        <v>775</v>
      </c>
      <c r="Q47" s="10" t="s">
        <v>778</v>
      </c>
      <c r="R47" s="670"/>
    </row>
    <row r="48" spans="1:24" ht="15.75">
      <c r="A48" s="6"/>
      <c r="B48" s="1924" t="s">
        <v>923</v>
      </c>
      <c r="C48" s="1925"/>
      <c r="D48" s="1240"/>
      <c r="E48" s="685"/>
      <c r="F48" s="351"/>
      <c r="G48" s="688" t="s">
        <v>233</v>
      </c>
      <c r="H48" s="660" t="s">
        <v>872</v>
      </c>
      <c r="I48" s="219">
        <v>4490</v>
      </c>
      <c r="K48" s="1924" t="s">
        <v>923</v>
      </c>
      <c r="L48" s="1925"/>
      <c r="M48" s="1455"/>
      <c r="N48" s="1309"/>
      <c r="O48" s="141"/>
      <c r="P48" s="23" t="s">
        <v>775</v>
      </c>
      <c r="Q48" s="24" t="s">
        <v>779</v>
      </c>
      <c r="R48" s="871"/>
    </row>
    <row r="49" spans="1:18" ht="15.75">
      <c r="A49" s="6"/>
      <c r="B49" s="1978" t="s">
        <v>923</v>
      </c>
      <c r="C49" s="1979"/>
      <c r="D49" s="1238"/>
      <c r="E49" s="685"/>
      <c r="F49" s="704"/>
      <c r="G49" s="705" t="s">
        <v>81</v>
      </c>
      <c r="H49" s="314" t="s">
        <v>873</v>
      </c>
      <c r="I49" s="703">
        <v>4490</v>
      </c>
      <c r="K49" s="1928" t="s">
        <v>923</v>
      </c>
      <c r="L49" s="1929"/>
      <c r="M49" s="1711"/>
      <c r="N49" s="1309"/>
      <c r="O49" s="1258"/>
      <c r="P49" s="47" t="s">
        <v>775</v>
      </c>
      <c r="Q49" s="52" t="s">
        <v>780</v>
      </c>
      <c r="R49" s="670"/>
    </row>
    <row r="50" spans="1:18" ht="15.75">
      <c r="A50" s="6"/>
      <c r="B50" s="1924" t="s">
        <v>923</v>
      </c>
      <c r="C50" s="1925"/>
      <c r="D50" s="1240"/>
      <c r="E50" s="685"/>
      <c r="F50" s="699"/>
      <c r="G50" s="16" t="s">
        <v>879</v>
      </c>
      <c r="H50" s="700" t="s">
        <v>880</v>
      </c>
      <c r="I50" s="701">
        <v>8990</v>
      </c>
      <c r="K50" s="48">
        <v>12</v>
      </c>
      <c r="L50" s="1296">
        <v>24</v>
      </c>
      <c r="M50" s="1372"/>
      <c r="N50" s="1309"/>
      <c r="O50" s="141"/>
      <c r="P50" s="23" t="s">
        <v>775</v>
      </c>
      <c r="Q50" s="24" t="s">
        <v>781</v>
      </c>
      <c r="R50" s="871"/>
    </row>
    <row r="51" spans="1:18" ht="15.75" customHeight="1" thickBot="1">
      <c r="A51" s="6"/>
      <c r="B51" s="2451" t="s">
        <v>923</v>
      </c>
      <c r="C51" s="2452"/>
      <c r="D51" s="1317"/>
      <c r="E51" s="685"/>
      <c r="F51" s="694"/>
      <c r="G51" s="104" t="s">
        <v>233</v>
      </c>
      <c r="H51" s="659" t="s">
        <v>234</v>
      </c>
      <c r="I51" s="220">
        <v>6290</v>
      </c>
      <c r="K51" s="2408" t="s">
        <v>923</v>
      </c>
      <c r="L51" s="2409"/>
      <c r="M51" s="1712"/>
      <c r="N51" s="1310"/>
      <c r="O51" s="1312"/>
      <c r="P51" s="97" t="s">
        <v>775</v>
      </c>
      <c r="Q51" s="91" t="s">
        <v>782</v>
      </c>
      <c r="R51" s="675"/>
    </row>
    <row r="52" spans="1:18" ht="15.75">
      <c r="A52" s="6"/>
      <c r="B52" s="1924" t="s">
        <v>923</v>
      </c>
      <c r="C52" s="1925"/>
      <c r="D52" s="1240"/>
      <c r="E52" s="685"/>
      <c r="F52" s="351"/>
      <c r="G52" s="23" t="s">
        <v>233</v>
      </c>
      <c r="H52" s="660" t="s">
        <v>236</v>
      </c>
      <c r="I52" s="219">
        <v>4790</v>
      </c>
      <c r="K52" s="211" t="s">
        <v>9</v>
      </c>
      <c r="L52" s="1306">
        <v>2</v>
      </c>
      <c r="M52" s="1440"/>
      <c r="N52" s="1309"/>
      <c r="O52" s="1034"/>
      <c r="P52" s="69" t="s">
        <v>776</v>
      </c>
      <c r="Q52" s="519" t="s">
        <v>753</v>
      </c>
      <c r="R52" s="872"/>
    </row>
    <row r="53" spans="1:18" ht="15.75" customHeight="1">
      <c r="A53" s="6"/>
      <c r="B53" s="1978" t="s">
        <v>923</v>
      </c>
      <c r="C53" s="1979"/>
      <c r="D53" s="1238"/>
      <c r="E53" s="685"/>
      <c r="F53" s="328"/>
      <c r="G53" s="117" t="s">
        <v>868</v>
      </c>
      <c r="H53" s="859" t="s">
        <v>952</v>
      </c>
      <c r="I53" s="860">
        <v>4990</v>
      </c>
      <c r="K53" s="49" t="s">
        <v>9</v>
      </c>
      <c r="L53" s="1295">
        <v>1</v>
      </c>
      <c r="M53" s="1441"/>
      <c r="N53" s="1309"/>
      <c r="O53" s="1258"/>
      <c r="P53" s="47" t="s">
        <v>776</v>
      </c>
      <c r="Q53" s="520" t="s">
        <v>912</v>
      </c>
      <c r="R53" s="670"/>
    </row>
    <row r="54" spans="1:18" ht="15.75" customHeight="1">
      <c r="A54" s="6"/>
      <c r="B54" s="1924" t="s">
        <v>923</v>
      </c>
      <c r="C54" s="1925"/>
      <c r="D54" s="1240"/>
      <c r="E54" s="685"/>
      <c r="F54" s="351"/>
      <c r="G54" s="23" t="s">
        <v>868</v>
      </c>
      <c r="H54" s="658" t="s">
        <v>237</v>
      </c>
      <c r="I54" s="219">
        <v>5690</v>
      </c>
      <c r="K54" s="48" t="s">
        <v>9</v>
      </c>
      <c r="L54" s="1296">
        <v>2</v>
      </c>
      <c r="M54" s="1372"/>
      <c r="N54" s="1309"/>
      <c r="O54" s="141"/>
      <c r="P54" s="16" t="s">
        <v>776</v>
      </c>
      <c r="Q54" s="255" t="s">
        <v>754</v>
      </c>
      <c r="R54" s="871"/>
    </row>
    <row r="55" spans="1:18" ht="15.75" customHeight="1">
      <c r="A55" s="6"/>
      <c r="B55" s="1978" t="s">
        <v>923</v>
      </c>
      <c r="C55" s="1979"/>
      <c r="D55" s="1238"/>
      <c r="E55" s="685"/>
      <c r="F55" s="328"/>
      <c r="G55" s="302" t="s">
        <v>233</v>
      </c>
      <c r="H55" s="702" t="s">
        <v>874</v>
      </c>
      <c r="I55" s="696">
        <v>6290</v>
      </c>
      <c r="K55" s="196" t="s">
        <v>9</v>
      </c>
      <c r="L55" s="1307">
        <v>1</v>
      </c>
      <c r="M55" s="1372"/>
      <c r="N55" s="1309"/>
      <c r="O55" s="692"/>
      <c r="P55" s="302" t="s">
        <v>776</v>
      </c>
      <c r="Q55" s="521" t="s">
        <v>804</v>
      </c>
      <c r="R55" s="873"/>
    </row>
    <row r="56" spans="1:18" ht="15.75" customHeight="1" thickBot="1">
      <c r="A56" s="6"/>
      <c r="B56" s="1924" t="s">
        <v>923</v>
      </c>
      <c r="C56" s="1925"/>
      <c r="D56" s="1240"/>
      <c r="E56" s="685"/>
      <c r="F56" s="351"/>
      <c r="G56" s="688" t="s">
        <v>868</v>
      </c>
      <c r="H56" s="660" t="s">
        <v>238</v>
      </c>
      <c r="I56" s="219">
        <v>6890</v>
      </c>
      <c r="K56" s="146" t="s">
        <v>9</v>
      </c>
      <c r="L56" s="1304">
        <v>2</v>
      </c>
      <c r="M56" s="1442"/>
      <c r="N56" s="1310"/>
      <c r="O56" s="149"/>
      <c r="P56" s="304" t="s">
        <v>776</v>
      </c>
      <c r="Q56" s="522" t="s">
        <v>755</v>
      </c>
      <c r="R56" s="874"/>
    </row>
    <row r="57" spans="1:18" ht="15.75" customHeight="1" thickBot="1">
      <c r="A57" s="6"/>
      <c r="B57" s="1978" t="s">
        <v>923</v>
      </c>
      <c r="C57" s="1979"/>
      <c r="D57" s="1238"/>
      <c r="E57" s="685"/>
      <c r="F57" s="328"/>
      <c r="G57" s="302" t="s">
        <v>233</v>
      </c>
      <c r="H57" s="702" t="s">
        <v>239</v>
      </c>
      <c r="I57" s="696">
        <v>6990</v>
      </c>
      <c r="K57" s="2463" t="s">
        <v>923</v>
      </c>
      <c r="L57" s="2464"/>
      <c r="M57" s="1713"/>
      <c r="N57" s="1311"/>
      <c r="O57" s="1314"/>
      <c r="P57" s="605" t="s">
        <v>901</v>
      </c>
      <c r="Q57" s="834" t="s">
        <v>900</v>
      </c>
      <c r="R57" s="875"/>
    </row>
    <row r="58" spans="1:18" ht="15.75" customHeight="1" thickBot="1">
      <c r="A58" s="6"/>
      <c r="B58" s="1924" t="s">
        <v>923</v>
      </c>
      <c r="C58" s="1925"/>
      <c r="D58" s="1240"/>
      <c r="E58" s="685"/>
      <c r="F58" s="695"/>
      <c r="G58" s="688" t="s">
        <v>233</v>
      </c>
      <c r="H58" s="690" t="s">
        <v>216</v>
      </c>
      <c r="I58" s="219">
        <v>9990</v>
      </c>
      <c r="K58" s="99">
        <v>6</v>
      </c>
      <c r="L58" s="711">
        <v>30</v>
      </c>
      <c r="M58" s="1714"/>
      <c r="N58" s="1310"/>
      <c r="O58" s="1315"/>
      <c r="P58" s="304" t="s">
        <v>662</v>
      </c>
      <c r="Q58" s="522" t="s">
        <v>914</v>
      </c>
      <c r="R58" s="896"/>
    </row>
    <row r="59" spans="1:18" ht="15.75" customHeight="1">
      <c r="B59" s="1978" t="s">
        <v>923</v>
      </c>
      <c r="C59" s="1979"/>
      <c r="D59" s="1238"/>
      <c r="E59" s="685"/>
      <c r="F59" s="704"/>
      <c r="G59" s="708" t="s">
        <v>233</v>
      </c>
      <c r="H59" s="709" t="s">
        <v>898</v>
      </c>
      <c r="I59" s="703">
        <v>6990</v>
      </c>
      <c r="K59" s="1982" t="s">
        <v>923</v>
      </c>
      <c r="L59" s="1983"/>
      <c r="M59" s="1715"/>
      <c r="N59" s="1309"/>
      <c r="O59" s="1313"/>
      <c r="P59" s="306" t="s">
        <v>150</v>
      </c>
      <c r="Q59" s="307" t="s">
        <v>390</v>
      </c>
      <c r="R59" s="876"/>
    </row>
    <row r="60" spans="1:18" ht="15.75" customHeight="1">
      <c r="A60" s="6"/>
      <c r="B60" s="1924" t="s">
        <v>923</v>
      </c>
      <c r="C60" s="1925"/>
      <c r="D60" s="1240"/>
      <c r="E60" s="685"/>
      <c r="F60" s="699"/>
      <c r="G60" s="689" t="s">
        <v>233</v>
      </c>
      <c r="H60" s="661" t="s">
        <v>907</v>
      </c>
      <c r="I60" s="842">
        <v>2990</v>
      </c>
      <c r="K60" s="1924" t="s">
        <v>923</v>
      </c>
      <c r="L60" s="1925"/>
      <c r="M60" s="1716"/>
      <c r="N60" s="1309"/>
      <c r="O60" s="141"/>
      <c r="P60" s="486" t="s">
        <v>150</v>
      </c>
      <c r="Q60" s="224" t="s">
        <v>839</v>
      </c>
      <c r="R60" s="893"/>
    </row>
    <row r="61" spans="1:18" ht="15.75" customHeight="1" thickBot="1">
      <c r="A61" s="6"/>
      <c r="B61" s="1978" t="s">
        <v>923</v>
      </c>
      <c r="C61" s="1979"/>
      <c r="D61" s="1238"/>
      <c r="E61" s="685"/>
      <c r="F61" s="328"/>
      <c r="G61" s="705" t="s">
        <v>868</v>
      </c>
      <c r="H61" s="702" t="s">
        <v>875</v>
      </c>
      <c r="I61" s="885">
        <v>3690</v>
      </c>
      <c r="K61" s="2393" t="s">
        <v>923</v>
      </c>
      <c r="L61" s="2394"/>
      <c r="M61" s="1717"/>
      <c r="N61" s="1310"/>
      <c r="O61" s="1036"/>
      <c r="P61" s="605" t="s">
        <v>150</v>
      </c>
      <c r="Q61" s="606" t="s">
        <v>393</v>
      </c>
      <c r="R61" s="875"/>
    </row>
    <row r="62" spans="1:18" ht="15.75" customHeight="1">
      <c r="A62" s="6"/>
      <c r="B62" s="1924" t="s">
        <v>923</v>
      </c>
      <c r="C62" s="1925"/>
      <c r="D62" s="1240"/>
      <c r="E62" s="685"/>
      <c r="F62" s="710"/>
      <c r="G62" s="16" t="s">
        <v>233</v>
      </c>
      <c r="H62" s="660" t="s">
        <v>876</v>
      </c>
      <c r="I62" s="701">
        <v>11990</v>
      </c>
      <c r="K62" s="2391" t="s">
        <v>923</v>
      </c>
      <c r="L62" s="2392"/>
      <c r="M62" s="1454"/>
      <c r="N62" s="1309"/>
      <c r="O62" s="1034"/>
      <c r="P62" s="16" t="s">
        <v>777</v>
      </c>
      <c r="Q62" s="156" t="s">
        <v>249</v>
      </c>
      <c r="R62" s="894"/>
    </row>
    <row r="63" spans="1:18" ht="15.75" customHeight="1">
      <c r="A63" s="6"/>
      <c r="B63" s="1978" t="s">
        <v>923</v>
      </c>
      <c r="C63" s="1979"/>
      <c r="D63" s="1238"/>
      <c r="E63" s="685"/>
      <c r="F63" s="704"/>
      <c r="G63" s="705" t="s">
        <v>868</v>
      </c>
      <c r="H63" s="702" t="s">
        <v>877</v>
      </c>
      <c r="I63" s="703">
        <v>10190</v>
      </c>
      <c r="K63" s="1978" t="s">
        <v>923</v>
      </c>
      <c r="L63" s="1979"/>
      <c r="M63" s="1371"/>
      <c r="N63" s="1309"/>
      <c r="O63" s="692"/>
      <c r="P63" s="306" t="s">
        <v>777</v>
      </c>
      <c r="Q63" s="275" t="s">
        <v>248</v>
      </c>
      <c r="R63" s="873"/>
    </row>
    <row r="64" spans="1:18" ht="15.75" customHeight="1">
      <c r="A64" s="6"/>
      <c r="B64" s="1924" t="s">
        <v>923</v>
      </c>
      <c r="C64" s="1925"/>
      <c r="D64" s="1240"/>
      <c r="E64" s="685"/>
      <c r="F64" s="351"/>
      <c r="G64" s="688" t="s">
        <v>233</v>
      </c>
      <c r="H64" s="660" t="s">
        <v>582</v>
      </c>
      <c r="I64" s="219">
        <v>11490</v>
      </c>
      <c r="K64" s="1924" t="s">
        <v>923</v>
      </c>
      <c r="L64" s="1925"/>
      <c r="M64" s="1454"/>
      <c r="N64" s="1309"/>
      <c r="O64" s="141"/>
      <c r="P64" s="16" t="s">
        <v>777</v>
      </c>
      <c r="Q64" s="156" t="s">
        <v>575</v>
      </c>
      <c r="R64" s="894"/>
    </row>
    <row r="65" spans="1:18" ht="15.75" customHeight="1" thickBot="1">
      <c r="A65" s="6"/>
      <c r="B65" s="2453" t="s">
        <v>923</v>
      </c>
      <c r="C65" s="2454"/>
      <c r="D65" s="1262"/>
      <c r="E65" s="1079"/>
      <c r="F65" s="624"/>
      <c r="G65" s="131" t="s">
        <v>233</v>
      </c>
      <c r="H65" s="717" t="s">
        <v>241</v>
      </c>
      <c r="I65" s="323">
        <v>4490</v>
      </c>
      <c r="K65" s="2393" t="s">
        <v>923</v>
      </c>
      <c r="L65" s="2394"/>
      <c r="M65" s="1717"/>
      <c r="N65" s="1310"/>
      <c r="O65" s="1036"/>
      <c r="P65" s="605" t="s">
        <v>15</v>
      </c>
      <c r="Q65" s="606" t="s">
        <v>235</v>
      </c>
      <c r="R65" s="890"/>
    </row>
    <row r="66" spans="1:18" ht="15.75">
      <c r="A66" s="6"/>
      <c r="B66" s="1982" t="s">
        <v>923</v>
      </c>
      <c r="C66" s="1983"/>
      <c r="D66" s="1318"/>
      <c r="E66" s="684"/>
      <c r="F66" s="835"/>
      <c r="G66" s="836" t="s">
        <v>233</v>
      </c>
      <c r="H66" s="702" t="s">
        <v>897</v>
      </c>
      <c r="I66" s="837">
        <v>2890</v>
      </c>
      <c r="K66" s="2391" t="s">
        <v>923</v>
      </c>
      <c r="L66" s="2392"/>
      <c r="M66" s="1454"/>
      <c r="N66" s="1309"/>
      <c r="O66" s="1034"/>
      <c r="P66" s="16" t="s">
        <v>150</v>
      </c>
      <c r="Q66" s="156" t="s">
        <v>885</v>
      </c>
      <c r="R66" s="894"/>
    </row>
    <row r="67" spans="1:18" ht="15.75">
      <c r="A67" s="6"/>
      <c r="B67" s="1924" t="s">
        <v>923</v>
      </c>
      <c r="C67" s="1925"/>
      <c r="D67" s="1239"/>
      <c r="E67" s="684"/>
      <c r="F67" s="625"/>
      <c r="G67" s="841" t="s">
        <v>233</v>
      </c>
      <c r="H67" s="53" t="s">
        <v>899</v>
      </c>
      <c r="I67" s="842">
        <v>4520</v>
      </c>
      <c r="K67" s="2415" t="s">
        <v>923</v>
      </c>
      <c r="L67" s="2467"/>
      <c r="M67" s="1718"/>
      <c r="N67" s="1309"/>
      <c r="O67" s="692"/>
      <c r="P67" s="836" t="s">
        <v>150</v>
      </c>
      <c r="Q67" s="891" t="s">
        <v>887</v>
      </c>
      <c r="R67" s="892"/>
    </row>
    <row r="68" spans="1:18" ht="15.75">
      <c r="A68" s="6"/>
      <c r="B68" s="1978" t="s">
        <v>923</v>
      </c>
      <c r="C68" s="1979"/>
      <c r="D68" s="1238"/>
      <c r="E68" s="684"/>
      <c r="F68" s="704"/>
      <c r="G68" s="705" t="s">
        <v>233</v>
      </c>
      <c r="H68" s="702" t="s">
        <v>895</v>
      </c>
      <c r="I68" s="703">
        <v>2690</v>
      </c>
      <c r="K68" s="2468" t="s">
        <v>923</v>
      </c>
      <c r="L68" s="2469"/>
      <c r="M68" s="1454"/>
      <c r="N68" s="1309"/>
      <c r="O68" s="141"/>
      <c r="P68" s="16" t="s">
        <v>150</v>
      </c>
      <c r="Q68" s="156" t="s">
        <v>886</v>
      </c>
      <c r="R68" s="894"/>
    </row>
    <row r="69" spans="1:18" ht="15.75">
      <c r="A69" s="6"/>
      <c r="B69" s="1924" t="s">
        <v>923</v>
      </c>
      <c r="C69" s="1925"/>
      <c r="D69" s="1239"/>
      <c r="E69" s="684"/>
      <c r="F69" s="625"/>
      <c r="G69" s="841" t="s">
        <v>233</v>
      </c>
      <c r="H69" s="53" t="s">
        <v>896</v>
      </c>
      <c r="I69" s="842">
        <v>2890</v>
      </c>
      <c r="K69" s="1978" t="s">
        <v>923</v>
      </c>
      <c r="L69" s="1979"/>
      <c r="M69" s="1371"/>
      <c r="N69" s="1309"/>
      <c r="O69" s="692"/>
      <c r="P69" s="306" t="s">
        <v>150</v>
      </c>
      <c r="Q69" s="275" t="s">
        <v>889</v>
      </c>
      <c r="R69" s="873"/>
    </row>
    <row r="70" spans="1:18" ht="15.75" customHeight="1" thickBot="1">
      <c r="A70" s="6"/>
      <c r="B70" s="1978" t="s">
        <v>923</v>
      </c>
      <c r="C70" s="1979"/>
      <c r="D70" s="1238"/>
      <c r="E70" s="684"/>
      <c r="F70" s="704"/>
      <c r="G70" s="705" t="s">
        <v>233</v>
      </c>
      <c r="H70" s="702" t="s">
        <v>894</v>
      </c>
      <c r="I70" s="703">
        <v>2690</v>
      </c>
      <c r="K70" s="1930" t="s">
        <v>923</v>
      </c>
      <c r="L70" s="1931"/>
      <c r="M70" s="1719"/>
      <c r="N70" s="1310"/>
      <c r="O70" s="149"/>
      <c r="P70" s="304" t="s">
        <v>150</v>
      </c>
      <c r="Q70" s="895" t="s">
        <v>888</v>
      </c>
      <c r="R70" s="896"/>
    </row>
    <row r="71" spans="1:18" ht="15.75" customHeight="1" thickBot="1">
      <c r="A71" s="6"/>
      <c r="B71" s="1924" t="s">
        <v>923</v>
      </c>
      <c r="C71" s="1925"/>
      <c r="D71" s="1239"/>
      <c r="E71" s="684"/>
      <c r="F71" s="625"/>
      <c r="G71" s="841" t="s">
        <v>233</v>
      </c>
      <c r="H71" s="53" t="s">
        <v>490</v>
      </c>
      <c r="I71" s="842">
        <v>11390</v>
      </c>
      <c r="K71" s="87"/>
      <c r="L71" s="87"/>
      <c r="M71" s="642"/>
      <c r="N71" s="87"/>
      <c r="O71" s="87"/>
      <c r="P71" s="87"/>
      <c r="Q71" s="87"/>
      <c r="R71" s="880"/>
    </row>
    <row r="72" spans="1:18" ht="15.75">
      <c r="A72" s="6"/>
      <c r="B72" s="1978" t="s">
        <v>923</v>
      </c>
      <c r="C72" s="1979"/>
      <c r="D72" s="1238"/>
      <c r="E72" s="684"/>
      <c r="F72" s="704"/>
      <c r="G72" s="705" t="s">
        <v>233</v>
      </c>
      <c r="H72" s="702" t="s">
        <v>473</v>
      </c>
      <c r="I72" s="703">
        <v>11390</v>
      </c>
      <c r="K72" s="2332" t="s">
        <v>640</v>
      </c>
      <c r="L72" s="2435"/>
      <c r="M72" s="2329" t="s">
        <v>1174</v>
      </c>
      <c r="N72" s="43"/>
      <c r="O72" s="1918" t="s">
        <v>1179</v>
      </c>
      <c r="P72" s="2374"/>
      <c r="Q72" s="46" t="s">
        <v>342</v>
      </c>
      <c r="R72" s="870" t="s">
        <v>723</v>
      </c>
    </row>
    <row r="73" spans="1:18" ht="15.75">
      <c r="A73" s="6"/>
      <c r="B73" s="1924" t="s">
        <v>923</v>
      </c>
      <c r="C73" s="1925"/>
      <c r="D73" s="1239"/>
      <c r="E73" s="684"/>
      <c r="F73" s="625"/>
      <c r="G73" s="841" t="s">
        <v>868</v>
      </c>
      <c r="H73" s="53" t="s">
        <v>878</v>
      </c>
      <c r="I73" s="842">
        <v>4490</v>
      </c>
      <c r="K73" s="2422"/>
      <c r="L73" s="2436"/>
      <c r="M73" s="2330"/>
      <c r="N73" s="27"/>
      <c r="O73" s="2375"/>
      <c r="P73" s="2376"/>
      <c r="Q73" s="14" t="s">
        <v>425</v>
      </c>
      <c r="R73" s="219"/>
    </row>
    <row r="74" spans="1:18" ht="15.75" customHeight="1" thickBot="1">
      <c r="A74" s="6"/>
      <c r="B74" s="1978" t="s">
        <v>923</v>
      </c>
      <c r="C74" s="1979"/>
      <c r="D74" s="1238"/>
      <c r="E74" s="684"/>
      <c r="F74" s="704"/>
      <c r="G74" s="705" t="s">
        <v>868</v>
      </c>
      <c r="H74" s="702" t="s">
        <v>243</v>
      </c>
      <c r="I74" s="703">
        <v>28990</v>
      </c>
      <c r="K74" s="666" t="s">
        <v>5</v>
      </c>
      <c r="L74" s="1618" t="s">
        <v>6</v>
      </c>
      <c r="M74" s="1709"/>
      <c r="N74" s="27"/>
      <c r="O74" s="1651" t="s">
        <v>7</v>
      </c>
      <c r="P74" s="157" t="s">
        <v>1</v>
      </c>
      <c r="Q74" s="1652" t="s">
        <v>0</v>
      </c>
      <c r="R74" s="727" t="s">
        <v>138</v>
      </c>
    </row>
    <row r="75" spans="1:18" ht="15.75">
      <c r="A75" s="6"/>
      <c r="B75" s="1924" t="s">
        <v>923</v>
      </c>
      <c r="C75" s="1925"/>
      <c r="D75" s="1239"/>
      <c r="E75" s="684"/>
      <c r="F75" s="625"/>
      <c r="G75" s="841" t="s">
        <v>868</v>
      </c>
      <c r="H75" s="53" t="s">
        <v>902</v>
      </c>
      <c r="I75" s="842" t="s">
        <v>496</v>
      </c>
      <c r="K75" s="1653">
        <v>8</v>
      </c>
      <c r="L75" s="1703">
        <v>20</v>
      </c>
      <c r="M75" s="1676"/>
      <c r="N75" s="1662"/>
      <c r="O75" s="1654"/>
      <c r="P75" s="1655" t="s">
        <v>1327</v>
      </c>
      <c r="Q75" s="1656" t="s">
        <v>1347</v>
      </c>
      <c r="R75" s="1657"/>
    </row>
    <row r="76" spans="1:18" ht="15.75" customHeight="1" thickBot="1">
      <c r="A76" s="6"/>
      <c r="B76" s="2393" t="s">
        <v>923</v>
      </c>
      <c r="C76" s="2394"/>
      <c r="D76" s="1262"/>
      <c r="E76" s="840"/>
      <c r="F76" s="624"/>
      <c r="G76" s="131" t="s">
        <v>868</v>
      </c>
      <c r="H76" s="717" t="s">
        <v>893</v>
      </c>
      <c r="I76" s="323">
        <v>53490</v>
      </c>
      <c r="K76" s="1421">
        <v>8</v>
      </c>
      <c r="L76" s="1704">
        <v>24</v>
      </c>
      <c r="M76" s="1337"/>
      <c r="N76" s="1311"/>
      <c r="O76" s="1658"/>
      <c r="P76" s="1659" t="s">
        <v>1321</v>
      </c>
      <c r="Q76" s="1660" t="s">
        <v>1346</v>
      </c>
      <c r="R76" s="1661"/>
    </row>
    <row r="77" spans="1:18" ht="15.75" customHeight="1" thickBot="1">
      <c r="A77" s="6"/>
      <c r="B77" s="506"/>
      <c r="C77" s="40"/>
      <c r="D77" s="40"/>
      <c r="E77" s="40"/>
      <c r="F77" s="40"/>
      <c r="G77" s="40"/>
      <c r="H77" s="723"/>
      <c r="I77" s="724"/>
      <c r="K77" s="49">
        <v>1</v>
      </c>
      <c r="L77" s="1705">
        <v>2</v>
      </c>
      <c r="M77" s="1884"/>
      <c r="N77" s="1309"/>
      <c r="O77" s="1649"/>
      <c r="P77" s="1647" t="s">
        <v>1314</v>
      </c>
      <c r="Q77" s="10" t="s">
        <v>1329</v>
      </c>
      <c r="R77" s="670"/>
    </row>
    <row r="78" spans="1:18" ht="15.75" customHeight="1">
      <c r="A78" s="6"/>
      <c r="B78" s="715">
        <v>1</v>
      </c>
      <c r="C78" s="716">
        <v>3</v>
      </c>
      <c r="D78" s="1103"/>
      <c r="E78" s="1080"/>
      <c r="F78" s="1316"/>
      <c r="G78" s="720" t="s">
        <v>233</v>
      </c>
      <c r="H78" s="592" t="s">
        <v>1065</v>
      </c>
      <c r="I78" s="1867" t="s">
        <v>1083</v>
      </c>
      <c r="K78" s="48" t="s">
        <v>9</v>
      </c>
      <c r="L78" s="1886" t="s">
        <v>1416</v>
      </c>
      <c r="M78" s="1317"/>
      <c r="N78" s="1309"/>
      <c r="O78" s="1650"/>
      <c r="P78" s="1648" t="s">
        <v>1316</v>
      </c>
      <c r="Q78" s="70" t="s">
        <v>1300</v>
      </c>
      <c r="R78" s="1882"/>
    </row>
    <row r="79" spans="1:18" ht="15.75" customHeight="1">
      <c r="A79" s="6"/>
      <c r="B79" s="1876">
        <v>6</v>
      </c>
      <c r="C79" s="839">
        <v>24</v>
      </c>
      <c r="D79" s="1081"/>
      <c r="E79" s="684"/>
      <c r="F79" s="1239"/>
      <c r="G79" s="841" t="s">
        <v>233</v>
      </c>
      <c r="H79" s="53" t="s">
        <v>1360</v>
      </c>
      <c r="I79" s="1868" t="s">
        <v>1084</v>
      </c>
      <c r="K79" s="49" t="s">
        <v>9</v>
      </c>
      <c r="L79" s="1885" t="s">
        <v>1415</v>
      </c>
      <c r="M79" s="1884"/>
      <c r="N79" s="1309"/>
      <c r="O79" s="1649"/>
      <c r="P79" s="1647" t="s">
        <v>1315</v>
      </c>
      <c r="Q79" s="10" t="s">
        <v>1299</v>
      </c>
      <c r="R79" s="1883"/>
    </row>
    <row r="80" spans="1:18" ht="15.75" customHeight="1">
      <c r="A80" s="6"/>
      <c r="B80" s="226">
        <v>6</v>
      </c>
      <c r="C80" s="274">
        <v>12</v>
      </c>
      <c r="D80" s="1104"/>
      <c r="E80" s="684"/>
      <c r="F80" s="1238"/>
      <c r="G80" s="705" t="s">
        <v>233</v>
      </c>
      <c r="H80" s="702" t="s">
        <v>1082</v>
      </c>
      <c r="I80" s="1869" t="s">
        <v>1085</v>
      </c>
      <c r="K80" s="48" t="s">
        <v>9</v>
      </c>
      <c r="L80" s="1886" t="s">
        <v>1414</v>
      </c>
      <c r="M80" s="1317"/>
      <c r="N80" s="1309"/>
      <c r="O80" s="1650"/>
      <c r="P80" s="1648" t="s">
        <v>1315</v>
      </c>
      <c r="Q80" s="70" t="s">
        <v>1301</v>
      </c>
      <c r="R80" s="1882"/>
    </row>
    <row r="81" spans="1:22" ht="15.75" customHeight="1">
      <c r="A81" s="6"/>
      <c r="B81" s="1876">
        <v>1</v>
      </c>
      <c r="C81" s="839">
        <v>3</v>
      </c>
      <c r="D81" s="1081"/>
      <c r="E81" s="684"/>
      <c r="F81" s="1239"/>
      <c r="G81" s="841" t="s">
        <v>233</v>
      </c>
      <c r="H81" s="53" t="s">
        <v>1067</v>
      </c>
      <c r="I81" s="1868" t="s">
        <v>1086</v>
      </c>
      <c r="K81" s="49">
        <v>1</v>
      </c>
      <c r="L81" s="1705">
        <v>3</v>
      </c>
      <c r="M81" s="1884"/>
      <c r="N81" s="1309"/>
      <c r="O81" s="1649"/>
      <c r="P81" s="1647" t="s">
        <v>1318</v>
      </c>
      <c r="Q81" s="10" t="s">
        <v>1330</v>
      </c>
      <c r="R81" s="1883"/>
    </row>
    <row r="82" spans="1:22" ht="15.75" customHeight="1">
      <c r="A82" s="6"/>
      <c r="B82" s="226">
        <v>1</v>
      </c>
      <c r="C82" s="274">
        <v>2</v>
      </c>
      <c r="D82" s="1104"/>
      <c r="E82" s="684"/>
      <c r="F82" s="1238"/>
      <c r="G82" s="705" t="s">
        <v>233</v>
      </c>
      <c r="H82" s="702" t="s">
        <v>1068</v>
      </c>
      <c r="I82" s="1869" t="s">
        <v>1087</v>
      </c>
      <c r="K82" s="48" t="s">
        <v>9</v>
      </c>
      <c r="L82" s="1886" t="s">
        <v>1417</v>
      </c>
      <c r="M82" s="1317"/>
      <c r="N82" s="1309"/>
      <c r="O82" s="1650"/>
      <c r="P82" s="1648" t="s">
        <v>1318</v>
      </c>
      <c r="Q82" s="70" t="s">
        <v>1302</v>
      </c>
      <c r="R82" s="1882"/>
    </row>
    <row r="83" spans="1:22" ht="15.75" customHeight="1">
      <c r="A83" s="6"/>
      <c r="B83" s="1876">
        <v>1</v>
      </c>
      <c r="C83" s="839">
        <v>2</v>
      </c>
      <c r="D83" s="1081"/>
      <c r="E83" s="684"/>
      <c r="F83" s="1239"/>
      <c r="G83" s="841" t="s">
        <v>233</v>
      </c>
      <c r="H83" s="53" t="s">
        <v>1069</v>
      </c>
      <c r="I83" s="1868" t="s">
        <v>1087</v>
      </c>
      <c r="K83" s="49">
        <v>12</v>
      </c>
      <c r="L83" s="1705">
        <v>24</v>
      </c>
      <c r="M83" s="1884"/>
      <c r="N83" s="1309"/>
      <c r="O83" s="1649"/>
      <c r="P83" s="1647" t="s">
        <v>1313</v>
      </c>
      <c r="Q83" s="10" t="s">
        <v>1298</v>
      </c>
      <c r="R83" s="1883"/>
    </row>
    <row r="84" spans="1:22" ht="15.75" customHeight="1">
      <c r="A84" s="6"/>
      <c r="B84" s="226">
        <v>6</v>
      </c>
      <c r="C84" s="274">
        <v>15</v>
      </c>
      <c r="D84" s="1104"/>
      <c r="E84" s="684"/>
      <c r="F84" s="1238"/>
      <c r="G84" s="705" t="s">
        <v>214</v>
      </c>
      <c r="H84" s="702" t="s">
        <v>1072</v>
      </c>
      <c r="I84" s="1869" t="s">
        <v>1084</v>
      </c>
      <c r="K84" s="1702" t="s">
        <v>1357</v>
      </c>
      <c r="L84" s="82" t="s">
        <v>9</v>
      </c>
      <c r="M84" s="1239"/>
      <c r="N84" s="1309"/>
      <c r="O84" s="1650"/>
      <c r="P84" s="1648" t="s">
        <v>1327</v>
      </c>
      <c r="Q84" s="70" t="s">
        <v>1310</v>
      </c>
      <c r="R84" s="1882" t="s">
        <v>1418</v>
      </c>
    </row>
    <row r="85" spans="1:22" ht="15.75" customHeight="1">
      <c r="A85" s="6"/>
      <c r="B85" s="1876">
        <v>3</v>
      </c>
      <c r="C85" s="839">
        <v>9</v>
      </c>
      <c r="D85" s="1081"/>
      <c r="E85" s="684"/>
      <c r="F85" s="1239"/>
      <c r="G85" s="841" t="s">
        <v>214</v>
      </c>
      <c r="H85" s="53" t="s">
        <v>1073</v>
      </c>
      <c r="I85" s="1868" t="s">
        <v>1085</v>
      </c>
      <c r="K85" s="1702" t="s">
        <v>1357</v>
      </c>
      <c r="L85" s="1705" t="s">
        <v>9</v>
      </c>
      <c r="M85" s="1280"/>
      <c r="N85" s="1309"/>
      <c r="O85" s="1649"/>
      <c r="P85" s="1647" t="s">
        <v>1343</v>
      </c>
      <c r="Q85" s="10" t="s">
        <v>1342</v>
      </c>
      <c r="R85" s="1883" t="s">
        <v>1418</v>
      </c>
    </row>
    <row r="86" spans="1:22" ht="15.75" customHeight="1" thickBot="1">
      <c r="A86" s="6"/>
      <c r="B86" s="686">
        <v>6</v>
      </c>
      <c r="C86" s="687">
        <v>24</v>
      </c>
      <c r="D86" s="1721"/>
      <c r="E86" s="684"/>
      <c r="F86" s="1338"/>
      <c r="G86" s="1722" t="s">
        <v>233</v>
      </c>
      <c r="H86" s="1723" t="s">
        <v>1081</v>
      </c>
      <c r="I86" s="1870" t="s">
        <v>1084</v>
      </c>
      <c r="K86" s="1702" t="s">
        <v>1357</v>
      </c>
      <c r="L86" s="82"/>
      <c r="M86" s="1239"/>
      <c r="N86" s="1309"/>
      <c r="O86" s="1650"/>
      <c r="P86" s="1648" t="s">
        <v>1320</v>
      </c>
      <c r="Q86" s="70" t="s">
        <v>1311</v>
      </c>
      <c r="R86" s="1882"/>
    </row>
    <row r="87" spans="1:22" ht="15.75" customHeight="1">
      <c r="A87" s="6"/>
      <c r="B87" s="1877">
        <v>1</v>
      </c>
      <c r="C87" s="915">
        <v>3</v>
      </c>
      <c r="D87" s="1728"/>
      <c r="E87" s="1080"/>
      <c r="F87" s="1720"/>
      <c r="G87" s="1729" t="s">
        <v>868</v>
      </c>
      <c r="H87" s="73" t="s">
        <v>1076</v>
      </c>
      <c r="I87" s="1871" t="s">
        <v>1085</v>
      </c>
      <c r="K87" s="49" t="s">
        <v>9</v>
      </c>
      <c r="L87" s="1885" t="s">
        <v>1419</v>
      </c>
      <c r="M87" s="1884"/>
      <c r="N87" s="1309"/>
      <c r="O87" s="1649"/>
      <c r="P87" s="1647" t="s">
        <v>1340</v>
      </c>
      <c r="Q87" s="10" t="s">
        <v>1334</v>
      </c>
      <c r="R87" s="1883"/>
    </row>
    <row r="88" spans="1:22" ht="15.75" customHeight="1">
      <c r="A88" s="6"/>
      <c r="B88" s="226">
        <v>1</v>
      </c>
      <c r="C88" s="916">
        <v>3</v>
      </c>
      <c r="D88" s="1104"/>
      <c r="E88" s="684"/>
      <c r="F88" s="1238"/>
      <c r="G88" s="705" t="s">
        <v>868</v>
      </c>
      <c r="H88" s="702" t="s">
        <v>1066</v>
      </c>
      <c r="I88" s="1869" t="s">
        <v>1085</v>
      </c>
      <c r="K88" s="48" t="s">
        <v>9</v>
      </c>
      <c r="L88" s="1886" t="s">
        <v>1417</v>
      </c>
      <c r="M88" s="1317"/>
      <c r="N88" s="1309"/>
      <c r="O88" s="1650"/>
      <c r="P88" s="1648" t="s">
        <v>1320</v>
      </c>
      <c r="Q88" s="70" t="s">
        <v>1312</v>
      </c>
      <c r="R88" s="1882"/>
    </row>
    <row r="89" spans="1:22" ht="15.75" customHeight="1">
      <c r="A89" s="6"/>
      <c r="B89" s="1876">
        <v>0</v>
      </c>
      <c r="C89" s="915">
        <v>1</v>
      </c>
      <c r="D89" s="1081"/>
      <c r="E89" s="684"/>
      <c r="F89" s="1239"/>
      <c r="G89" s="841" t="s">
        <v>233</v>
      </c>
      <c r="H89" s="53" t="s">
        <v>1070</v>
      </c>
      <c r="I89" s="1868" t="s">
        <v>1087</v>
      </c>
      <c r="K89" s="49">
        <v>2</v>
      </c>
      <c r="L89" s="1705">
        <v>6</v>
      </c>
      <c r="M89" s="1884"/>
      <c r="N89" s="1309"/>
      <c r="O89" s="1649"/>
      <c r="P89" s="1647" t="s">
        <v>1319</v>
      </c>
      <c r="Q89" s="10" t="s">
        <v>1303</v>
      </c>
      <c r="R89" s="1883"/>
    </row>
    <row r="90" spans="1:22" ht="15.75" customHeight="1">
      <c r="B90" s="226">
        <v>1</v>
      </c>
      <c r="C90" s="916">
        <v>3</v>
      </c>
      <c r="D90" s="1104"/>
      <c r="E90" s="684"/>
      <c r="F90" s="1238"/>
      <c r="G90" s="705" t="s">
        <v>868</v>
      </c>
      <c r="H90" s="702" t="s">
        <v>1079</v>
      </c>
      <c r="I90" s="1869" t="s">
        <v>1085</v>
      </c>
      <c r="K90" s="48" t="s">
        <v>9</v>
      </c>
      <c r="L90" s="1886" t="s">
        <v>496</v>
      </c>
      <c r="M90" s="1317"/>
      <c r="N90" s="1309"/>
      <c r="O90" s="1650"/>
      <c r="P90" s="1648" t="s">
        <v>1322</v>
      </c>
      <c r="Q90" s="70" t="s">
        <v>1305</v>
      </c>
      <c r="R90" s="1882"/>
    </row>
    <row r="91" spans="1:22" ht="15.75" customHeight="1">
      <c r="A91" s="6"/>
      <c r="B91" s="55">
        <v>1</v>
      </c>
      <c r="C91" s="915">
        <v>2</v>
      </c>
      <c r="D91" s="1081"/>
      <c r="E91" s="684"/>
      <c r="F91" s="1239"/>
      <c r="G91" s="841" t="s">
        <v>868</v>
      </c>
      <c r="H91" s="53" t="s">
        <v>1077</v>
      </c>
      <c r="I91" s="1868" t="s">
        <v>1088</v>
      </c>
      <c r="K91" s="49" t="s">
        <v>9</v>
      </c>
      <c r="L91" s="1885" t="s">
        <v>496</v>
      </c>
      <c r="M91" s="1884"/>
      <c r="N91" s="1309"/>
      <c r="O91" s="1649"/>
      <c r="P91" s="1647" t="s">
        <v>1316</v>
      </c>
      <c r="Q91" s="10" t="s">
        <v>1335</v>
      </c>
      <c r="R91" s="1883"/>
    </row>
    <row r="92" spans="1:22" ht="15.75" customHeight="1">
      <c r="A92" s="6"/>
      <c r="B92" s="1978" t="s">
        <v>923</v>
      </c>
      <c r="C92" s="1979"/>
      <c r="D92" s="1104"/>
      <c r="E92" s="684"/>
      <c r="F92" s="1238"/>
      <c r="G92" s="705" t="s">
        <v>868</v>
      </c>
      <c r="H92" s="702" t="s">
        <v>1078</v>
      </c>
      <c r="I92" s="1872" t="s">
        <v>1357</v>
      </c>
      <c r="K92" s="48">
        <v>2</v>
      </c>
      <c r="L92" s="82">
        <v>8</v>
      </c>
      <c r="M92" s="1317"/>
      <c r="N92" s="1309"/>
      <c r="O92" s="1650"/>
      <c r="P92" s="1648" t="s">
        <v>496</v>
      </c>
      <c r="Q92" s="70" t="s">
        <v>1353</v>
      </c>
      <c r="R92" s="1882"/>
      <c r="V92" s="567"/>
    </row>
    <row r="93" spans="1:22" ht="15.75" customHeight="1">
      <c r="A93" s="6"/>
      <c r="B93" s="209">
        <v>1</v>
      </c>
      <c r="C93" s="915">
        <v>4</v>
      </c>
      <c r="D93" s="1081"/>
      <c r="E93" s="684"/>
      <c r="F93" s="1239"/>
      <c r="G93" s="841" t="s">
        <v>868</v>
      </c>
      <c r="H93" s="53" t="s">
        <v>1080</v>
      </c>
      <c r="I93" s="1873" t="s">
        <v>1084</v>
      </c>
      <c r="K93" s="49">
        <v>2</v>
      </c>
      <c r="L93" s="1705">
        <v>8</v>
      </c>
      <c r="M93" s="1884"/>
      <c r="N93" s="1309"/>
      <c r="O93" s="1649"/>
      <c r="P93" s="1647" t="s">
        <v>1321</v>
      </c>
      <c r="Q93" s="10" t="s">
        <v>1304</v>
      </c>
      <c r="R93" s="1883"/>
      <c r="V93" s="567"/>
    </row>
    <row r="94" spans="1:22" ht="15.75" customHeight="1" thickBot="1">
      <c r="A94" s="6"/>
      <c r="B94" s="686">
        <v>1</v>
      </c>
      <c r="C94" s="918">
        <v>3</v>
      </c>
      <c r="D94" s="1099"/>
      <c r="E94" s="840"/>
      <c r="F94" s="1262"/>
      <c r="G94" s="131" t="s">
        <v>868</v>
      </c>
      <c r="H94" s="717" t="s">
        <v>1359</v>
      </c>
      <c r="I94" s="1874" t="s">
        <v>1085</v>
      </c>
      <c r="J94" s="75"/>
      <c r="K94" s="48">
        <v>1</v>
      </c>
      <c r="L94" s="1886" t="s">
        <v>1417</v>
      </c>
      <c r="M94" s="1317"/>
      <c r="N94" s="1309"/>
      <c r="O94" s="1650"/>
      <c r="P94" s="1648" t="s">
        <v>1317</v>
      </c>
      <c r="Q94" s="70" t="s">
        <v>1345</v>
      </c>
      <c r="R94" s="1882"/>
      <c r="V94" s="568"/>
    </row>
    <row r="95" spans="1:22" ht="15.75" customHeight="1">
      <c r="A95" s="6"/>
      <c r="B95" s="209">
        <v>3</v>
      </c>
      <c r="C95" s="915">
        <v>8</v>
      </c>
      <c r="D95" s="1724"/>
      <c r="E95" s="684"/>
      <c r="F95" s="1518"/>
      <c r="G95" s="1725" t="s">
        <v>233</v>
      </c>
      <c r="H95" s="1082" t="s">
        <v>1071</v>
      </c>
      <c r="I95" s="1875" t="s">
        <v>1053</v>
      </c>
      <c r="K95" s="49">
        <v>10</v>
      </c>
      <c r="L95" s="1705">
        <v>30</v>
      </c>
      <c r="M95" s="1884"/>
      <c r="N95" s="1309"/>
      <c r="O95" s="1649"/>
      <c r="P95" s="1647" t="s">
        <v>1341</v>
      </c>
      <c r="Q95" s="10" t="s">
        <v>1333</v>
      </c>
      <c r="R95" s="1883"/>
      <c r="V95" s="569"/>
    </row>
    <row r="96" spans="1:22" ht="15.75" customHeight="1" thickBot="1">
      <c r="A96" s="6"/>
      <c r="B96" s="686">
        <v>1</v>
      </c>
      <c r="C96" s="918">
        <v>3</v>
      </c>
      <c r="D96" s="1099"/>
      <c r="E96" s="840"/>
      <c r="F96" s="1262"/>
      <c r="G96" s="131" t="s">
        <v>1075</v>
      </c>
      <c r="H96" s="717" t="s">
        <v>1074</v>
      </c>
      <c r="I96" s="1874" t="s">
        <v>1083</v>
      </c>
      <c r="K96" s="48">
        <v>1</v>
      </c>
      <c r="L96" s="82">
        <v>2</v>
      </c>
      <c r="M96" s="1317"/>
      <c r="N96" s="1309"/>
      <c r="O96" s="1650"/>
      <c r="P96" s="1648" t="s">
        <v>1339</v>
      </c>
      <c r="Q96" s="70" t="s">
        <v>1336</v>
      </c>
      <c r="R96" s="1882"/>
    </row>
    <row r="97" spans="1:26" ht="15.75" customHeight="1" thickBot="1">
      <c r="A97" s="6"/>
      <c r="K97" s="49">
        <v>1</v>
      </c>
      <c r="L97" s="1705">
        <v>2</v>
      </c>
      <c r="M97" s="1884"/>
      <c r="N97" s="1309"/>
      <c r="O97" s="1649"/>
      <c r="P97" s="1647" t="s">
        <v>1338</v>
      </c>
      <c r="Q97" s="10" t="s">
        <v>1337</v>
      </c>
      <c r="R97" s="1883"/>
    </row>
    <row r="98" spans="1:26" ht="15.75" customHeight="1">
      <c r="A98" s="6"/>
      <c r="B98" s="1982" t="s">
        <v>923</v>
      </c>
      <c r="C98" s="1983"/>
      <c r="D98" s="1316"/>
      <c r="E98" s="54"/>
      <c r="F98" s="719"/>
      <c r="G98" s="720" t="s">
        <v>81</v>
      </c>
      <c r="H98" s="697" t="s">
        <v>244</v>
      </c>
      <c r="I98" s="721"/>
      <c r="K98" s="1702" t="s">
        <v>1357</v>
      </c>
      <c r="L98" s="82"/>
      <c r="M98" s="1317"/>
      <c r="N98" s="1309"/>
      <c r="O98" s="1650"/>
      <c r="P98" s="1648" t="s">
        <v>1325</v>
      </c>
      <c r="Q98" s="70" t="s">
        <v>1309</v>
      </c>
      <c r="R98" s="1882" t="s">
        <v>1420</v>
      </c>
    </row>
    <row r="99" spans="1:26" ht="15.75" customHeight="1">
      <c r="B99" s="2457" t="s">
        <v>923</v>
      </c>
      <c r="C99" s="2458"/>
      <c r="D99" s="1240"/>
      <c r="E99" s="40"/>
      <c r="F99" s="351"/>
      <c r="G99" s="688" t="s">
        <v>81</v>
      </c>
      <c r="H99" s="664" t="s">
        <v>464</v>
      </c>
      <c r="I99" s="219"/>
      <c r="K99" s="49" t="s">
        <v>9</v>
      </c>
      <c r="L99" s="1885" t="s">
        <v>1414</v>
      </c>
      <c r="M99" s="1884"/>
      <c r="N99" s="1309"/>
      <c r="O99" s="1649"/>
      <c r="P99" s="1647" t="s">
        <v>1323</v>
      </c>
      <c r="Q99" s="10" t="s">
        <v>1306</v>
      </c>
      <c r="R99" s="1883"/>
      <c r="W99" s="6"/>
      <c r="X99" s="6"/>
      <c r="Y99" s="6"/>
      <c r="Z99" s="20"/>
    </row>
    <row r="100" spans="1:26" ht="15.75" customHeight="1">
      <c r="B100" s="2465" t="s">
        <v>923</v>
      </c>
      <c r="C100" s="2466"/>
      <c r="D100" s="1238"/>
      <c r="E100" s="40"/>
      <c r="F100" s="704"/>
      <c r="G100" s="705" t="s">
        <v>81</v>
      </c>
      <c r="H100" s="663" t="s">
        <v>245</v>
      </c>
      <c r="I100" s="703"/>
      <c r="K100" s="48" t="s">
        <v>9</v>
      </c>
      <c r="L100" s="1886" t="s">
        <v>1414</v>
      </c>
      <c r="M100" s="1317"/>
      <c r="N100" s="1309"/>
      <c r="O100" s="1650"/>
      <c r="P100" s="1648" t="s">
        <v>1344</v>
      </c>
      <c r="Q100" s="70" t="s">
        <v>1332</v>
      </c>
      <c r="R100" s="1882"/>
      <c r="U100" s="6"/>
      <c r="V100" s="6"/>
    </row>
    <row r="101" spans="1:26" ht="15.75" customHeight="1" thickBot="1">
      <c r="A101" s="6"/>
      <c r="B101" s="1930" t="s">
        <v>923</v>
      </c>
      <c r="C101" s="1931"/>
      <c r="D101" s="1268"/>
      <c r="E101" s="711"/>
      <c r="F101" s="352"/>
      <c r="G101" s="718" t="s">
        <v>63</v>
      </c>
      <c r="H101" s="662" t="s">
        <v>217</v>
      </c>
      <c r="I101" s="698"/>
      <c r="K101" s="1702" t="s">
        <v>1357</v>
      </c>
      <c r="L101" s="1705" t="s">
        <v>9</v>
      </c>
      <c r="M101" s="1267"/>
      <c r="N101" s="1309"/>
      <c r="O101" s="1649"/>
      <c r="P101" s="1647" t="s">
        <v>1324</v>
      </c>
      <c r="Q101" s="10" t="s">
        <v>1307</v>
      </c>
      <c r="R101" s="1883"/>
    </row>
    <row r="102" spans="1:26" ht="15.75" customHeight="1">
      <c r="K102" s="48">
        <v>6</v>
      </c>
      <c r="L102" s="1706">
        <v>24</v>
      </c>
      <c r="M102" s="1317"/>
      <c r="N102" s="1309"/>
      <c r="O102" s="1650"/>
      <c r="P102" s="1648" t="s">
        <v>1321</v>
      </c>
      <c r="Q102" s="70" t="s">
        <v>1308</v>
      </c>
      <c r="R102" s="1882"/>
    </row>
    <row r="103" spans="1:26" ht="15.75" customHeight="1">
      <c r="K103" s="1418">
        <v>4</v>
      </c>
      <c r="L103" s="1707">
        <v>10</v>
      </c>
      <c r="M103" s="1884"/>
      <c r="N103" s="1309"/>
      <c r="O103" s="1649"/>
      <c r="P103" s="1647" t="s">
        <v>1326</v>
      </c>
      <c r="Q103" s="10" t="s">
        <v>1348</v>
      </c>
      <c r="R103" s="1883"/>
    </row>
    <row r="104" spans="1:26" ht="15.75" customHeight="1">
      <c r="K104" s="1702" t="s">
        <v>1357</v>
      </c>
      <c r="L104" s="82" t="s">
        <v>9</v>
      </c>
      <c r="M104" s="1239"/>
      <c r="N104" s="1309"/>
      <c r="O104" s="1650"/>
      <c r="P104" s="1648" t="s">
        <v>1320</v>
      </c>
      <c r="Q104" s="12" t="s">
        <v>1328</v>
      </c>
      <c r="R104" s="1882"/>
    </row>
    <row r="105" spans="1:26" ht="15.75" customHeight="1">
      <c r="K105" s="1418"/>
      <c r="L105" s="1707"/>
      <c r="M105" s="1267"/>
      <c r="N105" s="1309"/>
      <c r="O105" s="1649"/>
      <c r="P105" s="1647"/>
      <c r="Q105" s="10"/>
      <c r="R105" s="670"/>
    </row>
    <row r="106" spans="1:26" ht="15.75" customHeight="1" thickBot="1">
      <c r="A106" s="6"/>
      <c r="K106" s="146"/>
      <c r="L106" s="1708"/>
      <c r="M106" s="1268"/>
      <c r="N106" s="1310"/>
      <c r="O106" s="1699"/>
      <c r="P106" s="1700"/>
      <c r="Q106" s="45"/>
      <c r="R106" s="1701"/>
    </row>
    <row r="107" spans="1:26" ht="15.75" customHeight="1">
      <c r="A107" s="6"/>
    </row>
    <row r="108" spans="1:26" ht="15.75" customHeight="1">
      <c r="A108" s="6"/>
      <c r="R108" s="1963" t="s">
        <v>1048</v>
      </c>
    </row>
    <row r="109" spans="1:26" ht="15.75" customHeight="1">
      <c r="A109" s="6"/>
      <c r="J109" s="6"/>
      <c r="R109" s="1963"/>
    </row>
    <row r="110" spans="1:26" ht="15.75" customHeight="1">
      <c r="A110" s="6"/>
      <c r="B110" s="163"/>
      <c r="C110" s="163"/>
      <c r="D110" s="163"/>
      <c r="E110" s="163"/>
      <c r="F110" s="163"/>
      <c r="G110" s="163"/>
      <c r="H110" s="163"/>
      <c r="I110" s="163"/>
      <c r="J110" s="163"/>
      <c r="K110" s="163"/>
      <c r="L110" s="163"/>
      <c r="M110" s="163"/>
      <c r="N110" s="163"/>
      <c r="O110" s="353"/>
      <c r="P110" s="163"/>
      <c r="Q110" s="163"/>
      <c r="R110" s="1964"/>
    </row>
    <row r="111" spans="1:26" ht="15.75" customHeight="1">
      <c r="A111" s="6"/>
      <c r="B111"/>
      <c r="C111"/>
      <c r="D111"/>
      <c r="E111"/>
      <c r="F111"/>
      <c r="G111"/>
      <c r="H111"/>
      <c r="I111"/>
    </row>
    <row r="112" spans="1:26" ht="15.75" customHeight="1">
      <c r="A112" s="6"/>
      <c r="J112" s="6"/>
    </row>
    <row r="113" spans="1:27" ht="15.75" customHeight="1">
      <c r="A113" s="6"/>
      <c r="J113" s="6"/>
    </row>
    <row r="114" spans="1:27" ht="15.75" customHeight="1">
      <c r="A114" s="6"/>
      <c r="J114" s="6"/>
    </row>
    <row r="115" spans="1:27" ht="15.75" customHeight="1"/>
    <row r="116" spans="1:27" ht="15.75" customHeight="1"/>
    <row r="117" spans="1:27" ht="15.75" customHeight="1">
      <c r="A117" s="6"/>
    </row>
    <row r="118" spans="1:27" ht="15.75" customHeight="1">
      <c r="U118" s="6"/>
      <c r="V118" s="6"/>
      <c r="W118" s="6"/>
      <c r="X118" s="20"/>
      <c r="Y118" s="6"/>
      <c r="Z118" s="6"/>
      <c r="AA118" s="20"/>
    </row>
    <row r="119" spans="1:27" ht="15.75" customHeight="1">
      <c r="A119" s="6"/>
      <c r="J119" s="6"/>
    </row>
    <row r="120" spans="1:27" ht="15.75" customHeight="1">
      <c r="J120" s="6"/>
    </row>
    <row r="121" spans="1:27" ht="15.75" customHeight="1">
      <c r="J121" s="6"/>
    </row>
    <row r="122" spans="1:27" ht="15.75" customHeight="1">
      <c r="J122" s="6"/>
    </row>
    <row r="123" spans="1:27" ht="15.75" customHeight="1">
      <c r="A123" s="6"/>
      <c r="J123" s="6"/>
    </row>
    <row r="124" spans="1:27" ht="15.75" customHeight="1">
      <c r="A124" s="6"/>
      <c r="J124" s="6"/>
    </row>
    <row r="125" spans="1:27" ht="15.75" customHeight="1">
      <c r="A125" s="6"/>
      <c r="J125" s="6"/>
    </row>
    <row r="126" spans="1:27" ht="15.75" customHeight="1">
      <c r="A126" s="6"/>
      <c r="J126" s="6"/>
    </row>
    <row r="127" spans="1:27" ht="15.75" customHeight="1">
      <c r="A127" s="6"/>
      <c r="J127" s="6"/>
    </row>
    <row r="128" spans="1:27" ht="15.75" customHeight="1">
      <c r="A128" s="6"/>
      <c r="J128" s="6"/>
    </row>
    <row r="129" spans="1:18" ht="15.75" customHeight="1">
      <c r="A129" s="6"/>
      <c r="J129" s="6"/>
    </row>
    <row r="130" spans="1:18" ht="15.75" customHeight="1">
      <c r="A130" s="6"/>
      <c r="J130" s="6"/>
    </row>
    <row r="131" spans="1:18" ht="15.75" customHeight="1">
      <c r="A131" s="6"/>
      <c r="J131" s="6"/>
    </row>
    <row r="132" spans="1:18" ht="15.75" customHeight="1">
      <c r="A132" s="6"/>
      <c r="J132" s="6"/>
    </row>
    <row r="133" spans="1:18" ht="15.75" customHeight="1">
      <c r="A133" s="6"/>
      <c r="J133" s="6"/>
    </row>
    <row r="134" spans="1:18" ht="15.75" customHeight="1">
      <c r="A134" s="6"/>
      <c r="J134" s="6"/>
    </row>
    <row r="135" spans="1:18" ht="15.75" customHeight="1">
      <c r="A135" s="6"/>
      <c r="J135" s="6"/>
    </row>
    <row r="136" spans="1:18" ht="15.75" customHeight="1">
      <c r="A136" s="6"/>
      <c r="J136" s="6"/>
    </row>
    <row r="137" spans="1:18" ht="15.75" customHeight="1">
      <c r="A137" s="6"/>
      <c r="C137" s="20"/>
      <c r="D137" s="20"/>
      <c r="E137" s="20"/>
      <c r="F137" s="20"/>
      <c r="G137" s="20"/>
      <c r="H137" s="6"/>
      <c r="J137" s="6"/>
    </row>
    <row r="138" spans="1:18" ht="15.75" customHeight="1">
      <c r="A138" s="6"/>
      <c r="B138" s="20"/>
      <c r="C138" s="20"/>
      <c r="D138" s="20"/>
      <c r="E138" s="20"/>
      <c r="F138" s="20"/>
      <c r="G138" s="20"/>
      <c r="H138" s="6"/>
      <c r="I138" s="679"/>
      <c r="J138" s="6"/>
    </row>
    <row r="139" spans="1:18" ht="15.75" customHeight="1">
      <c r="A139" s="6"/>
      <c r="B139" s="20"/>
      <c r="C139" s="20"/>
      <c r="D139" s="20"/>
      <c r="E139" s="20"/>
      <c r="F139" s="20"/>
      <c r="G139" s="20"/>
      <c r="H139" s="6"/>
      <c r="I139" s="679"/>
      <c r="J139" s="6"/>
    </row>
    <row r="140" spans="1:18" ht="15.75" customHeight="1">
      <c r="A140" s="6"/>
      <c r="B140" s="20"/>
      <c r="C140" s="20"/>
      <c r="D140" s="20"/>
      <c r="E140" s="20"/>
      <c r="F140" s="20"/>
      <c r="G140" s="20"/>
      <c r="H140" s="6"/>
      <c r="I140" s="679"/>
      <c r="J140" s="6"/>
    </row>
    <row r="141" spans="1:18" ht="15.75" customHeight="1">
      <c r="A141" s="6"/>
      <c r="B141" s="20"/>
      <c r="C141" s="20"/>
      <c r="D141" s="20"/>
      <c r="E141" s="20"/>
      <c r="F141" s="20"/>
      <c r="G141" s="20"/>
      <c r="H141" s="6"/>
      <c r="I141" s="679"/>
      <c r="J141" s="6"/>
    </row>
    <row r="142" spans="1:18" ht="15.75" customHeight="1">
      <c r="A142" s="6"/>
      <c r="B142" s="20"/>
      <c r="C142" s="20"/>
      <c r="D142" s="20"/>
      <c r="E142" s="20"/>
      <c r="F142" s="20"/>
      <c r="G142" s="20"/>
      <c r="H142" s="6"/>
      <c r="I142" s="679"/>
      <c r="J142" s="6"/>
    </row>
    <row r="143" spans="1:18" ht="15.75" customHeight="1">
      <c r="A143" s="6"/>
      <c r="B143" s="20"/>
      <c r="C143" s="20"/>
      <c r="D143" s="20"/>
      <c r="E143" s="20"/>
      <c r="F143" s="20"/>
      <c r="G143" s="20"/>
      <c r="H143" s="6"/>
      <c r="I143" s="679"/>
      <c r="J143" s="6"/>
    </row>
    <row r="144" spans="1:18" ht="15.75" customHeight="1">
      <c r="A144" s="6"/>
      <c r="B144" s="20"/>
      <c r="C144" s="20"/>
      <c r="D144" s="20"/>
      <c r="E144" s="20"/>
      <c r="F144" s="20"/>
      <c r="G144" s="20"/>
      <c r="H144" s="6"/>
      <c r="I144" s="679"/>
      <c r="J144" s="6"/>
      <c r="K144" s="6"/>
      <c r="L144" s="6"/>
      <c r="M144" s="6"/>
      <c r="N144" s="6"/>
      <c r="O144" s="20"/>
      <c r="P144" s="6"/>
      <c r="Q144" s="6"/>
      <c r="R144" s="679"/>
    </row>
    <row r="145" spans="1:18" ht="15.75" customHeight="1">
      <c r="A145" s="6"/>
      <c r="B145" s="20"/>
      <c r="C145" s="20"/>
      <c r="D145" s="20"/>
      <c r="E145" s="20"/>
      <c r="F145" s="20"/>
      <c r="G145" s="20"/>
      <c r="H145" s="6"/>
      <c r="I145" s="679"/>
      <c r="J145" s="6"/>
      <c r="K145" s="6"/>
      <c r="L145" s="6"/>
      <c r="M145" s="6"/>
      <c r="N145" s="6"/>
      <c r="O145" s="20"/>
      <c r="P145" s="6"/>
      <c r="Q145" s="6"/>
      <c r="R145" s="679"/>
    </row>
    <row r="146" spans="1:18" ht="15.75" customHeight="1">
      <c r="A146" s="6"/>
      <c r="B146" s="20"/>
      <c r="C146" s="20"/>
      <c r="D146" s="20"/>
      <c r="E146" s="20"/>
      <c r="F146" s="20"/>
      <c r="G146" s="20"/>
      <c r="H146" s="6"/>
      <c r="I146" s="679"/>
      <c r="J146" s="6"/>
      <c r="K146" s="6"/>
      <c r="L146" s="6"/>
      <c r="M146" s="6"/>
      <c r="N146" s="6"/>
      <c r="O146" s="20"/>
      <c r="P146" s="6"/>
      <c r="Q146" s="6"/>
      <c r="R146" s="679"/>
    </row>
    <row r="147" spans="1:18" ht="15.75" customHeight="1">
      <c r="A147" s="6"/>
      <c r="B147" s="20"/>
      <c r="C147" s="20"/>
      <c r="D147" s="20"/>
      <c r="E147" s="20"/>
      <c r="F147" s="20"/>
      <c r="G147" s="20"/>
      <c r="H147" s="6"/>
      <c r="I147" s="679"/>
      <c r="J147" s="6"/>
      <c r="K147" s="6"/>
      <c r="L147" s="6"/>
      <c r="M147" s="6"/>
      <c r="N147" s="6"/>
      <c r="O147" s="20"/>
      <c r="P147" s="6"/>
      <c r="Q147" s="6"/>
      <c r="R147" s="679"/>
    </row>
    <row r="148" spans="1:18" ht="15.75" customHeight="1">
      <c r="A148" s="6"/>
      <c r="B148" s="20"/>
      <c r="C148" s="20"/>
      <c r="D148" s="20"/>
      <c r="E148" s="20"/>
      <c r="F148" s="20"/>
      <c r="G148" s="20"/>
      <c r="H148" s="6"/>
      <c r="I148" s="679"/>
      <c r="J148" s="6"/>
      <c r="K148" s="6"/>
      <c r="L148" s="6"/>
      <c r="M148" s="6"/>
      <c r="N148" s="6"/>
      <c r="O148" s="20"/>
      <c r="P148" s="6"/>
      <c r="Q148" s="6"/>
      <c r="R148" s="679"/>
    </row>
    <row r="149" spans="1:18" ht="15.75" customHeight="1">
      <c r="A149" s="6"/>
      <c r="B149" s="20"/>
      <c r="C149" s="20"/>
      <c r="D149" s="20"/>
      <c r="E149" s="20"/>
      <c r="F149" s="20"/>
      <c r="G149" s="20"/>
      <c r="H149" s="6"/>
      <c r="I149" s="679"/>
      <c r="J149" s="6"/>
      <c r="K149" s="6"/>
      <c r="L149" s="6"/>
      <c r="M149" s="6"/>
      <c r="N149" s="6"/>
      <c r="O149" s="20"/>
      <c r="P149" s="6"/>
      <c r="Q149" s="6"/>
      <c r="R149" s="679"/>
    </row>
    <row r="150" spans="1:18" ht="15.75" customHeight="1">
      <c r="A150" s="6"/>
      <c r="B150" s="20"/>
      <c r="C150" s="20"/>
      <c r="D150" s="20"/>
      <c r="E150" s="20"/>
      <c r="F150" s="20"/>
      <c r="G150" s="20"/>
      <c r="H150" s="6"/>
      <c r="I150" s="679"/>
      <c r="J150" s="6"/>
      <c r="K150" s="6"/>
      <c r="L150" s="6"/>
      <c r="M150" s="6"/>
      <c r="N150" s="6"/>
      <c r="O150" s="20"/>
      <c r="P150" s="6"/>
      <c r="Q150" s="6"/>
      <c r="R150" s="679"/>
    </row>
    <row r="151" spans="1:18" ht="15.75" customHeight="1">
      <c r="A151" s="6"/>
      <c r="B151" s="20"/>
      <c r="C151" s="20"/>
      <c r="D151" s="20"/>
      <c r="E151" s="20"/>
      <c r="F151" s="20"/>
      <c r="G151" s="20"/>
      <c r="H151" s="6"/>
      <c r="I151" s="679"/>
      <c r="J151" s="6"/>
      <c r="K151" s="6"/>
      <c r="L151" s="6"/>
      <c r="M151" s="6"/>
      <c r="N151" s="6"/>
      <c r="O151" s="20"/>
      <c r="P151" s="6"/>
      <c r="Q151" s="6"/>
      <c r="R151" s="679"/>
    </row>
    <row r="152" spans="1:18" ht="15.75" customHeight="1">
      <c r="A152" s="6"/>
      <c r="B152" s="20"/>
      <c r="C152" s="20"/>
      <c r="D152" s="20"/>
      <c r="E152" s="20"/>
      <c r="F152" s="20"/>
      <c r="G152" s="20"/>
      <c r="H152" s="6"/>
      <c r="I152" s="679"/>
      <c r="J152" s="6"/>
      <c r="K152" s="6"/>
      <c r="L152" s="6"/>
      <c r="M152" s="6"/>
      <c r="N152" s="6"/>
      <c r="O152" s="20"/>
      <c r="P152" s="6"/>
      <c r="Q152" s="6"/>
      <c r="R152" s="679"/>
    </row>
    <row r="153" spans="1:18" ht="15.75" customHeight="1">
      <c r="A153" s="6"/>
      <c r="B153" s="20"/>
      <c r="C153" s="20"/>
      <c r="D153" s="20"/>
      <c r="E153" s="20"/>
      <c r="F153" s="20"/>
      <c r="G153" s="20"/>
      <c r="H153" s="6"/>
      <c r="I153" s="679"/>
      <c r="J153" s="6"/>
      <c r="K153" s="6"/>
      <c r="L153" s="6"/>
      <c r="M153" s="6"/>
      <c r="N153" s="6"/>
      <c r="O153" s="20"/>
      <c r="P153" s="6"/>
      <c r="Q153" s="6"/>
      <c r="R153" s="679"/>
    </row>
    <row r="154" spans="1:18" ht="15.75" customHeight="1">
      <c r="A154" s="6"/>
      <c r="B154" s="20"/>
      <c r="C154" s="20"/>
      <c r="D154" s="20"/>
      <c r="E154" s="20"/>
      <c r="F154" s="20"/>
      <c r="G154" s="20"/>
      <c r="H154" s="6"/>
      <c r="I154" s="679"/>
      <c r="J154" s="6"/>
      <c r="K154" s="6"/>
      <c r="L154" s="6"/>
      <c r="M154" s="6"/>
      <c r="N154" s="6"/>
      <c r="O154" s="20"/>
      <c r="P154" s="6"/>
      <c r="Q154" s="6"/>
      <c r="R154" s="679"/>
    </row>
    <row r="155" spans="1:18" ht="15.75" customHeight="1">
      <c r="A155" s="6"/>
      <c r="B155" s="20"/>
      <c r="C155" s="20"/>
      <c r="D155" s="20"/>
      <c r="E155" s="20"/>
      <c r="F155" s="20"/>
      <c r="G155" s="20"/>
      <c r="H155" s="6"/>
      <c r="I155" s="679"/>
      <c r="J155" s="6"/>
      <c r="K155" s="6"/>
      <c r="L155" s="6"/>
      <c r="M155" s="6"/>
      <c r="N155" s="6"/>
      <c r="O155" s="20"/>
      <c r="P155" s="6"/>
      <c r="Q155" s="6"/>
      <c r="R155" s="679"/>
    </row>
    <row r="156" spans="1:18" ht="15.75" customHeight="1">
      <c r="A156" s="6"/>
      <c r="B156" s="20"/>
      <c r="C156" s="20"/>
      <c r="D156" s="20"/>
      <c r="E156" s="20"/>
      <c r="F156" s="20"/>
      <c r="G156" s="20"/>
      <c r="H156" s="6"/>
      <c r="I156" s="679"/>
      <c r="J156" s="6"/>
    </row>
    <row r="157" spans="1:18" ht="15.75" customHeight="1">
      <c r="A157" s="6"/>
      <c r="B157" s="20"/>
      <c r="C157" s="20"/>
      <c r="D157" s="20"/>
      <c r="E157" s="20"/>
      <c r="F157" s="20"/>
      <c r="G157" s="20"/>
      <c r="H157" s="6"/>
      <c r="I157" s="679"/>
      <c r="J157" s="6"/>
    </row>
    <row r="158" spans="1:18" ht="15.75" customHeight="1">
      <c r="A158" s="6"/>
      <c r="B158" s="20"/>
      <c r="C158" s="20"/>
      <c r="D158" s="20"/>
      <c r="E158" s="20"/>
      <c r="F158" s="20"/>
      <c r="G158" s="20"/>
      <c r="H158" s="6"/>
      <c r="I158" s="679"/>
      <c r="J158" s="6"/>
    </row>
    <row r="159" spans="1:18" ht="15.75" customHeight="1">
      <c r="A159" s="6"/>
      <c r="B159" s="20"/>
      <c r="C159" s="20"/>
      <c r="D159" s="20"/>
      <c r="E159" s="20"/>
      <c r="F159" s="20"/>
      <c r="G159" s="20"/>
      <c r="H159" s="6"/>
      <c r="I159" s="679"/>
      <c r="J159" s="6"/>
    </row>
    <row r="160" spans="1:18" ht="15.75" customHeight="1">
      <c r="A160" s="6"/>
      <c r="B160" s="20"/>
      <c r="C160" s="20"/>
      <c r="D160" s="20"/>
      <c r="E160" s="20"/>
      <c r="F160" s="20"/>
      <c r="G160" s="20"/>
      <c r="H160" s="6"/>
      <c r="I160" s="679"/>
      <c r="J160" s="6"/>
    </row>
    <row r="161" spans="1:10" ht="15.75" customHeight="1">
      <c r="A161" s="6"/>
      <c r="B161" s="20"/>
      <c r="C161" s="20"/>
      <c r="D161" s="20"/>
      <c r="E161" s="20"/>
      <c r="F161" s="20"/>
      <c r="G161" s="20"/>
      <c r="H161" s="6"/>
      <c r="I161" s="679"/>
      <c r="J161" s="6"/>
    </row>
    <row r="162" spans="1:10" ht="15.75" customHeight="1">
      <c r="A162" s="6"/>
      <c r="B162" s="20"/>
      <c r="C162" s="20"/>
      <c r="D162" s="20"/>
      <c r="E162" s="20"/>
      <c r="F162" s="20"/>
      <c r="G162" s="20"/>
      <c r="H162" s="6"/>
      <c r="I162" s="679"/>
      <c r="J162" s="6"/>
    </row>
    <row r="163" spans="1:10" ht="15.75" customHeight="1">
      <c r="A163" s="6"/>
      <c r="B163" s="20"/>
      <c r="C163" s="20"/>
      <c r="D163" s="20"/>
      <c r="E163" s="20"/>
      <c r="F163" s="20"/>
      <c r="G163" s="20"/>
      <c r="H163" s="6"/>
      <c r="I163" s="679"/>
      <c r="J163" s="6"/>
    </row>
    <row r="164" spans="1:10" ht="15.75" customHeight="1">
      <c r="A164" s="6"/>
      <c r="B164" s="20"/>
      <c r="C164" s="20"/>
      <c r="D164" s="20"/>
      <c r="E164" s="20"/>
      <c r="F164" s="20"/>
      <c r="G164" s="20"/>
      <c r="H164" s="6"/>
      <c r="I164" s="679"/>
      <c r="J164" s="6"/>
    </row>
    <row r="165" spans="1:10" ht="15.75" customHeight="1">
      <c r="A165" s="6"/>
      <c r="B165" s="20"/>
      <c r="C165" s="20"/>
      <c r="D165" s="20"/>
      <c r="E165" s="20"/>
      <c r="F165" s="20"/>
      <c r="G165" s="20"/>
      <c r="H165" s="6"/>
      <c r="I165" s="679"/>
      <c r="J165" s="6"/>
    </row>
    <row r="166" spans="1:10" ht="15.75" customHeight="1">
      <c r="A166" s="6"/>
      <c r="B166" s="20"/>
      <c r="C166" s="20"/>
      <c r="D166" s="20"/>
      <c r="E166" s="20"/>
      <c r="F166" s="20"/>
      <c r="G166" s="20"/>
      <c r="H166" s="6"/>
      <c r="I166" s="679"/>
      <c r="J166" s="6"/>
    </row>
    <row r="167" spans="1:10" ht="15.75" customHeight="1">
      <c r="A167" s="6"/>
      <c r="B167" s="20"/>
      <c r="C167" s="20"/>
      <c r="D167" s="20"/>
      <c r="E167" s="20"/>
      <c r="F167" s="20"/>
      <c r="G167" s="20"/>
      <c r="H167" s="6"/>
      <c r="I167" s="679"/>
      <c r="J167" s="6"/>
    </row>
    <row r="168" spans="1:10" ht="15.75" customHeight="1">
      <c r="A168" s="6"/>
      <c r="B168" s="20"/>
      <c r="C168" s="20"/>
      <c r="D168" s="20"/>
      <c r="E168" s="20"/>
      <c r="F168" s="20"/>
      <c r="G168" s="20"/>
      <c r="H168" s="6"/>
      <c r="I168" s="679"/>
      <c r="J168" s="6"/>
    </row>
    <row r="169" spans="1:10" ht="15.75" customHeight="1">
      <c r="A169" s="6"/>
      <c r="B169" s="20"/>
      <c r="C169" s="20"/>
      <c r="D169" s="20"/>
      <c r="E169" s="20"/>
      <c r="F169" s="20"/>
      <c r="G169" s="20"/>
      <c r="H169" s="6"/>
      <c r="I169" s="679"/>
      <c r="J169" s="6"/>
    </row>
    <row r="170" spans="1:10" ht="15.75" customHeight="1">
      <c r="A170" s="6"/>
      <c r="B170" s="20"/>
      <c r="C170" s="20"/>
      <c r="D170" s="20"/>
      <c r="E170" s="20"/>
      <c r="F170" s="20"/>
      <c r="G170" s="20"/>
      <c r="H170" s="6"/>
      <c r="I170" s="679"/>
      <c r="J170" s="6"/>
    </row>
    <row r="171" spans="1:10" ht="15.75" customHeight="1">
      <c r="A171" s="6"/>
      <c r="B171" s="20"/>
      <c r="C171" s="20"/>
      <c r="D171" s="20"/>
      <c r="E171" s="20"/>
      <c r="F171" s="20"/>
      <c r="G171" s="20"/>
      <c r="H171" s="6"/>
      <c r="I171" s="679"/>
      <c r="J171" s="6"/>
    </row>
    <row r="172" spans="1:10" ht="15.75" customHeight="1">
      <c r="A172" s="6"/>
      <c r="B172" s="20"/>
      <c r="C172" s="20"/>
      <c r="D172" s="20"/>
      <c r="E172" s="20"/>
      <c r="F172" s="20"/>
      <c r="G172" s="20"/>
      <c r="H172" s="6"/>
      <c r="I172" s="679"/>
      <c r="J172" s="6"/>
    </row>
    <row r="173" spans="1:10" ht="15.75" customHeight="1">
      <c r="A173" s="6"/>
      <c r="B173" s="20"/>
      <c r="C173" s="20"/>
      <c r="D173" s="20"/>
      <c r="E173" s="20"/>
      <c r="F173" s="20"/>
      <c r="G173" s="20"/>
      <c r="H173" s="6"/>
      <c r="I173" s="679"/>
      <c r="J173" s="6"/>
    </row>
    <row r="174" spans="1:10" ht="15.75" customHeight="1">
      <c r="A174" s="6"/>
      <c r="B174" s="20"/>
      <c r="C174" s="20"/>
      <c r="D174" s="20"/>
      <c r="E174" s="20"/>
      <c r="F174" s="20"/>
      <c r="G174" s="20"/>
      <c r="H174" s="6"/>
      <c r="I174" s="679"/>
      <c r="J174" s="6"/>
    </row>
    <row r="175" spans="1:10" ht="15.75" customHeight="1">
      <c r="A175" s="6"/>
      <c r="B175" s="20"/>
      <c r="C175" s="20"/>
      <c r="D175" s="20"/>
      <c r="E175" s="20"/>
      <c r="F175" s="20"/>
      <c r="G175" s="20"/>
      <c r="H175" s="6"/>
      <c r="I175" s="679"/>
      <c r="J175" s="6"/>
    </row>
    <row r="176" spans="1:10" ht="15.75" customHeight="1">
      <c r="A176" s="6"/>
      <c r="B176" s="20"/>
      <c r="C176" s="20"/>
      <c r="D176" s="20"/>
      <c r="E176" s="20"/>
      <c r="F176" s="20"/>
      <c r="G176" s="20"/>
      <c r="H176" s="6"/>
      <c r="I176" s="679"/>
      <c r="J176" s="6"/>
    </row>
    <row r="177" spans="1:10" ht="15.75" customHeight="1">
      <c r="A177" s="6"/>
      <c r="B177" s="20"/>
      <c r="C177" s="20"/>
      <c r="D177" s="20"/>
      <c r="E177" s="20"/>
      <c r="F177" s="20"/>
      <c r="G177" s="20"/>
      <c r="H177" s="6"/>
      <c r="I177" s="679"/>
      <c r="J177" s="6"/>
    </row>
    <row r="178" spans="1:10" ht="15.75" customHeight="1">
      <c r="A178" s="6"/>
      <c r="B178" s="20"/>
      <c r="C178" s="20"/>
      <c r="D178" s="20"/>
      <c r="E178" s="20"/>
      <c r="F178" s="20"/>
      <c r="G178" s="20"/>
      <c r="H178" s="6"/>
      <c r="I178" s="679"/>
      <c r="J178" s="6"/>
    </row>
    <row r="179" spans="1:10" ht="15.75" customHeight="1">
      <c r="A179" s="6"/>
      <c r="B179" s="20"/>
      <c r="C179" s="20"/>
      <c r="D179" s="20"/>
      <c r="E179" s="20"/>
      <c r="F179" s="20"/>
      <c r="G179" s="20"/>
      <c r="H179" s="6"/>
      <c r="I179" s="679"/>
      <c r="J179" s="6"/>
    </row>
    <row r="180" spans="1:10" ht="15.75" customHeight="1">
      <c r="A180" s="6"/>
      <c r="B180" s="20"/>
      <c r="C180" s="20"/>
      <c r="D180" s="20"/>
      <c r="E180" s="20"/>
      <c r="F180" s="20"/>
      <c r="G180" s="20"/>
      <c r="H180" s="6"/>
      <c r="I180" s="679"/>
      <c r="J180" s="6"/>
    </row>
    <row r="181" spans="1:10" ht="15.75" customHeight="1">
      <c r="A181" s="6"/>
      <c r="B181" s="20"/>
      <c r="C181" s="20"/>
      <c r="D181" s="20"/>
      <c r="E181" s="20"/>
      <c r="F181" s="20"/>
      <c r="G181" s="20"/>
      <c r="H181" s="6"/>
      <c r="I181" s="679"/>
      <c r="J181" s="6"/>
    </row>
    <row r="182" spans="1:10" ht="15.75" customHeight="1">
      <c r="A182" s="6"/>
      <c r="B182" s="20"/>
      <c r="C182" s="20"/>
      <c r="D182" s="20"/>
      <c r="E182" s="20"/>
      <c r="F182" s="20"/>
      <c r="G182" s="20"/>
      <c r="H182" s="6"/>
      <c r="I182" s="679"/>
      <c r="J182" s="6"/>
    </row>
    <row r="183" spans="1:10" ht="15.75" customHeight="1">
      <c r="A183" s="6"/>
      <c r="B183" s="20"/>
      <c r="C183" s="20"/>
      <c r="D183" s="20"/>
      <c r="E183" s="20"/>
      <c r="F183" s="20"/>
      <c r="G183" s="20"/>
      <c r="H183" s="6"/>
      <c r="I183" s="679"/>
      <c r="J183" s="6"/>
    </row>
    <row r="184" spans="1:10" ht="15.75" customHeight="1">
      <c r="A184" s="6"/>
      <c r="B184" s="20"/>
      <c r="C184" s="20"/>
      <c r="D184" s="20"/>
      <c r="E184" s="20"/>
      <c r="F184" s="20"/>
      <c r="G184" s="20"/>
      <c r="H184" s="6"/>
      <c r="I184" s="679"/>
      <c r="J184" s="6"/>
    </row>
    <row r="185" spans="1:10" ht="15.75" customHeight="1">
      <c r="A185" s="6"/>
      <c r="B185" s="20"/>
      <c r="C185" s="20"/>
      <c r="D185" s="20"/>
      <c r="E185" s="20"/>
      <c r="F185" s="20"/>
      <c r="G185" s="20"/>
      <c r="H185" s="6"/>
      <c r="I185" s="679"/>
      <c r="J185" s="6"/>
    </row>
    <row r="186" spans="1:10" ht="15.75" customHeight="1">
      <c r="A186" s="6"/>
      <c r="B186" s="20"/>
      <c r="C186" s="20"/>
      <c r="D186" s="20"/>
      <c r="E186" s="20"/>
      <c r="F186" s="20"/>
      <c r="G186" s="20"/>
      <c r="H186" s="6"/>
      <c r="I186" s="679"/>
      <c r="J186" s="6"/>
    </row>
    <row r="187" spans="1:10" ht="15.75" customHeight="1">
      <c r="A187" s="6"/>
      <c r="B187" s="20"/>
      <c r="C187" s="20"/>
      <c r="D187" s="20"/>
      <c r="E187" s="20"/>
      <c r="F187" s="20"/>
      <c r="G187" s="20"/>
      <c r="H187" s="6"/>
      <c r="I187" s="679"/>
      <c r="J187" s="6"/>
    </row>
    <row r="188" spans="1:10" ht="15.75" customHeight="1">
      <c r="A188" s="6"/>
      <c r="B188" s="20"/>
      <c r="C188" s="20"/>
      <c r="D188" s="20"/>
      <c r="E188" s="20"/>
      <c r="F188" s="20"/>
      <c r="G188" s="20"/>
      <c r="H188" s="6"/>
      <c r="I188" s="679"/>
      <c r="J188" s="6"/>
    </row>
    <row r="189" spans="1:10" ht="15.75" customHeight="1">
      <c r="A189" s="6"/>
      <c r="B189" s="20"/>
      <c r="C189" s="20"/>
      <c r="D189" s="20"/>
      <c r="E189" s="20"/>
      <c r="F189" s="20"/>
      <c r="G189" s="20"/>
      <c r="H189" s="6"/>
      <c r="I189" s="679"/>
      <c r="J189" s="6"/>
    </row>
    <row r="190" spans="1:10" ht="15.75" customHeight="1">
      <c r="A190" s="6"/>
      <c r="B190" s="20"/>
      <c r="C190" s="20"/>
      <c r="D190" s="20"/>
      <c r="E190" s="20"/>
      <c r="F190" s="20"/>
      <c r="G190" s="20"/>
      <c r="H190" s="6"/>
      <c r="I190" s="679"/>
      <c r="J190" s="6"/>
    </row>
    <row r="191" spans="1:10" ht="15.75" customHeight="1">
      <c r="A191" s="6"/>
      <c r="B191" s="20"/>
      <c r="C191" s="20"/>
      <c r="D191" s="20"/>
      <c r="E191" s="20"/>
      <c r="F191" s="20"/>
      <c r="G191" s="20"/>
      <c r="H191" s="6"/>
      <c r="I191" s="679"/>
      <c r="J191" s="6"/>
    </row>
    <row r="192" spans="1:10" ht="15.75" customHeight="1">
      <c r="A192" s="6"/>
      <c r="B192" s="20"/>
      <c r="C192" s="20"/>
      <c r="D192" s="20"/>
      <c r="E192" s="20"/>
      <c r="F192" s="20"/>
      <c r="G192" s="20"/>
      <c r="H192" s="6"/>
      <c r="I192" s="679"/>
      <c r="J192" s="6"/>
    </row>
    <row r="193" spans="1:10" ht="15.75" customHeight="1">
      <c r="A193" s="6"/>
      <c r="B193" s="20"/>
      <c r="C193" s="20"/>
      <c r="D193" s="20"/>
      <c r="E193" s="20"/>
      <c r="F193" s="20"/>
      <c r="G193" s="20"/>
      <c r="H193" s="6"/>
      <c r="I193" s="679"/>
      <c r="J193" s="6"/>
    </row>
    <row r="194" spans="1:10" ht="15.75" customHeight="1">
      <c r="A194" s="6"/>
      <c r="B194" s="20"/>
      <c r="C194" s="20"/>
      <c r="D194" s="20"/>
      <c r="E194" s="20"/>
      <c r="F194" s="20"/>
      <c r="G194" s="20"/>
      <c r="H194" s="6"/>
      <c r="I194" s="679"/>
      <c r="J194" s="6"/>
    </row>
    <row r="195" spans="1:10" ht="15.75" customHeight="1">
      <c r="A195" s="6"/>
      <c r="B195" s="20"/>
      <c r="C195" s="20"/>
      <c r="D195" s="20"/>
      <c r="E195" s="20"/>
      <c r="F195" s="20"/>
      <c r="G195" s="20"/>
      <c r="H195" s="6"/>
      <c r="I195" s="679"/>
      <c r="J195" s="6"/>
    </row>
    <row r="196" spans="1:10" ht="15.75" customHeight="1">
      <c r="A196" s="6"/>
      <c r="B196" s="20"/>
      <c r="C196" s="20"/>
      <c r="D196" s="20"/>
      <c r="E196" s="20"/>
      <c r="F196" s="20"/>
      <c r="G196" s="20"/>
      <c r="H196" s="6"/>
      <c r="I196" s="679"/>
      <c r="J196" s="6"/>
    </row>
    <row r="197" spans="1:10" ht="15.75" customHeight="1">
      <c r="A197" s="6"/>
      <c r="B197" s="20"/>
      <c r="C197" s="20"/>
      <c r="D197" s="20"/>
      <c r="E197" s="20"/>
      <c r="F197" s="20"/>
      <c r="G197" s="20"/>
      <c r="H197" s="6"/>
      <c r="I197" s="679"/>
      <c r="J197" s="6"/>
    </row>
    <row r="198" spans="1:10" ht="15.75" customHeight="1">
      <c r="A198" s="6"/>
      <c r="B198" s="20"/>
      <c r="C198" s="20"/>
      <c r="D198" s="20"/>
      <c r="E198" s="20"/>
      <c r="F198" s="20"/>
      <c r="G198" s="20"/>
      <c r="H198" s="6"/>
      <c r="I198" s="679"/>
      <c r="J198" s="6"/>
    </row>
    <row r="199" spans="1:10" ht="15.75" customHeight="1">
      <c r="A199" s="6"/>
      <c r="B199" s="20"/>
      <c r="C199" s="20"/>
      <c r="D199" s="20"/>
      <c r="E199" s="20"/>
      <c r="F199" s="20"/>
      <c r="G199" s="20"/>
      <c r="H199" s="6"/>
      <c r="I199" s="679"/>
      <c r="J199" s="6"/>
    </row>
    <row r="200" spans="1:10" ht="15.75" customHeight="1">
      <c r="A200" s="6"/>
      <c r="B200" s="20"/>
      <c r="C200" s="20"/>
      <c r="D200" s="20"/>
      <c r="E200" s="20"/>
      <c r="F200" s="20"/>
      <c r="G200" s="20"/>
      <c r="H200" s="6"/>
      <c r="I200" s="679"/>
      <c r="J200" s="6"/>
    </row>
    <row r="201" spans="1:10" ht="15.75" customHeight="1">
      <c r="A201" s="6"/>
      <c r="B201" s="20"/>
      <c r="C201" s="20"/>
      <c r="D201" s="20"/>
      <c r="E201" s="20"/>
      <c r="F201" s="20"/>
      <c r="G201" s="20"/>
      <c r="H201" s="6"/>
      <c r="I201" s="679"/>
      <c r="J201" s="6"/>
    </row>
    <row r="202" spans="1:10" ht="15.75" customHeight="1">
      <c r="A202" s="6"/>
      <c r="B202" s="20"/>
      <c r="C202" s="20"/>
      <c r="D202" s="20"/>
      <c r="E202" s="20"/>
      <c r="F202" s="20"/>
      <c r="G202" s="20"/>
      <c r="H202" s="6"/>
      <c r="I202" s="679"/>
      <c r="J202" s="6"/>
    </row>
    <row r="203" spans="1:10" ht="15.75" customHeight="1">
      <c r="A203" s="6"/>
      <c r="B203" s="20"/>
      <c r="C203" s="20"/>
      <c r="D203" s="20"/>
      <c r="E203" s="20"/>
      <c r="F203" s="20"/>
      <c r="G203" s="20"/>
      <c r="H203" s="6"/>
      <c r="I203" s="679"/>
      <c r="J203" s="6"/>
    </row>
    <row r="204" spans="1:10" ht="15.75" customHeight="1">
      <c r="A204" s="6"/>
      <c r="B204" s="20"/>
      <c r="C204" s="20"/>
      <c r="D204" s="20"/>
      <c r="E204" s="20"/>
      <c r="F204" s="20"/>
      <c r="G204" s="20"/>
      <c r="H204" s="6"/>
      <c r="I204" s="679"/>
      <c r="J204" s="6"/>
    </row>
    <row r="205" spans="1:10" ht="15.75" customHeight="1">
      <c r="A205" s="6"/>
      <c r="B205" s="20"/>
      <c r="C205" s="20"/>
      <c r="D205" s="20"/>
      <c r="E205" s="20"/>
      <c r="F205" s="20"/>
      <c r="G205" s="20"/>
      <c r="H205" s="6"/>
      <c r="I205" s="679"/>
      <c r="J205" s="6"/>
    </row>
    <row r="206" spans="1:10" ht="15.75" customHeight="1">
      <c r="A206" s="6"/>
      <c r="B206" s="20"/>
      <c r="C206" s="20"/>
      <c r="D206" s="20"/>
      <c r="E206" s="20"/>
      <c r="F206" s="20"/>
      <c r="G206" s="20"/>
      <c r="H206" s="6"/>
      <c r="I206" s="679"/>
      <c r="J206" s="6"/>
    </row>
    <row r="207" spans="1:10" ht="15.75" customHeight="1">
      <c r="A207" s="6"/>
      <c r="B207" s="20"/>
      <c r="C207" s="20"/>
      <c r="D207" s="20"/>
      <c r="E207" s="20"/>
      <c r="F207" s="20"/>
      <c r="G207" s="20"/>
      <c r="H207" s="6"/>
      <c r="I207" s="679"/>
      <c r="J207" s="6"/>
    </row>
    <row r="208" spans="1:10" ht="15.75" customHeight="1">
      <c r="A208" s="6"/>
      <c r="B208" s="20"/>
      <c r="C208" s="20"/>
      <c r="D208" s="20"/>
      <c r="E208" s="20"/>
      <c r="F208" s="20"/>
      <c r="G208" s="20"/>
      <c r="H208" s="6"/>
      <c r="I208" s="679"/>
      <c r="J208" s="6"/>
    </row>
    <row r="209" spans="1:18" ht="15.75" customHeight="1">
      <c r="A209" s="6"/>
      <c r="B209" s="20"/>
      <c r="C209" s="20"/>
      <c r="D209" s="20"/>
      <c r="E209" s="20"/>
      <c r="F209" s="20"/>
      <c r="G209" s="20"/>
      <c r="H209" s="6"/>
      <c r="I209" s="679"/>
      <c r="J209" s="6"/>
    </row>
    <row r="210" spans="1:18" ht="15.75" customHeight="1">
      <c r="A210" s="6"/>
      <c r="B210" s="20"/>
      <c r="C210" s="20"/>
      <c r="D210" s="20"/>
      <c r="E210" s="20"/>
      <c r="F210" s="20"/>
      <c r="G210" s="20"/>
      <c r="H210" s="6"/>
      <c r="I210" s="679"/>
      <c r="J210" s="6"/>
    </row>
    <row r="211" spans="1:18" ht="15.75" customHeight="1">
      <c r="A211" s="6"/>
      <c r="B211" s="20"/>
      <c r="C211" s="20"/>
      <c r="D211" s="20"/>
      <c r="E211" s="20"/>
      <c r="F211" s="20"/>
      <c r="G211" s="20"/>
      <c r="H211" s="6"/>
      <c r="I211" s="679"/>
      <c r="J211" s="6"/>
    </row>
    <row r="212" spans="1:18" ht="15.75" customHeight="1">
      <c r="A212" s="6"/>
      <c r="B212" s="20"/>
      <c r="C212" s="20"/>
      <c r="D212" s="20"/>
      <c r="E212" s="20"/>
      <c r="F212" s="20"/>
      <c r="G212" s="20"/>
      <c r="H212" s="6"/>
      <c r="I212" s="679"/>
      <c r="J212" s="6"/>
    </row>
    <row r="213" spans="1:18" ht="15.75" customHeight="1">
      <c r="A213" s="6"/>
      <c r="B213" s="20"/>
      <c r="C213" s="20"/>
      <c r="D213" s="20"/>
      <c r="E213" s="20"/>
      <c r="F213" s="20"/>
      <c r="G213" s="20"/>
      <c r="H213" s="6"/>
      <c r="I213" s="679"/>
      <c r="J213" s="6"/>
    </row>
    <row r="214" spans="1:18" ht="15.75" customHeight="1">
      <c r="A214" s="6"/>
      <c r="B214" s="20"/>
      <c r="C214" s="20"/>
      <c r="D214" s="20"/>
      <c r="E214" s="20"/>
      <c r="F214" s="20"/>
      <c r="G214" s="20"/>
      <c r="H214" s="6"/>
      <c r="I214" s="679"/>
    </row>
    <row r="215" spans="1:18" ht="15.75" customHeight="1">
      <c r="A215" s="6"/>
      <c r="B215" s="20"/>
      <c r="C215" s="20"/>
      <c r="D215" s="20"/>
      <c r="E215" s="20"/>
      <c r="F215" s="20"/>
      <c r="G215" s="20"/>
      <c r="H215" s="6"/>
      <c r="I215" s="679"/>
    </row>
    <row r="216" spans="1:18" ht="15.75" customHeight="1">
      <c r="A216" s="6"/>
      <c r="B216" s="20"/>
      <c r="C216" s="20"/>
      <c r="D216" s="20"/>
      <c r="E216" s="20"/>
      <c r="F216" s="20"/>
      <c r="G216" s="20"/>
      <c r="H216" s="6"/>
      <c r="I216" s="679"/>
    </row>
    <row r="217" spans="1:18" ht="15.75" customHeight="1">
      <c r="A217" s="6"/>
      <c r="B217" s="20"/>
      <c r="C217" s="20"/>
      <c r="D217" s="20"/>
      <c r="E217" s="20"/>
      <c r="F217" s="20"/>
      <c r="G217" s="20"/>
      <c r="H217" s="6"/>
      <c r="I217" s="679"/>
    </row>
    <row r="218" spans="1:18" ht="15.75" customHeight="1">
      <c r="A218" s="6"/>
      <c r="B218" s="20"/>
      <c r="C218" s="20"/>
      <c r="D218" s="20"/>
      <c r="E218" s="20"/>
      <c r="F218" s="20"/>
      <c r="G218" s="20"/>
      <c r="H218" s="6"/>
      <c r="I218" s="679"/>
    </row>
    <row r="219" spans="1:18" ht="15.75" customHeight="1">
      <c r="A219" s="6"/>
      <c r="B219" s="20"/>
      <c r="C219" s="20"/>
      <c r="D219" s="20"/>
      <c r="E219" s="20"/>
      <c r="F219" s="20"/>
      <c r="G219" s="20"/>
      <c r="H219" s="6"/>
      <c r="I219" s="679"/>
      <c r="K219" s="6"/>
      <c r="L219" s="6"/>
      <c r="M219" s="6"/>
      <c r="N219" s="6"/>
      <c r="O219" s="20"/>
      <c r="P219" s="6"/>
      <c r="Q219" s="6"/>
      <c r="R219" s="679"/>
    </row>
    <row r="220" spans="1:18" ht="15.75" customHeight="1">
      <c r="A220" s="6"/>
      <c r="B220" s="20"/>
      <c r="C220" s="20"/>
      <c r="D220" s="20"/>
      <c r="E220" s="20"/>
      <c r="F220" s="20"/>
      <c r="G220" s="20"/>
      <c r="H220" s="6"/>
      <c r="I220" s="679"/>
      <c r="K220" s="6"/>
      <c r="L220" s="6"/>
      <c r="M220" s="6"/>
      <c r="N220" s="6"/>
      <c r="O220" s="20"/>
      <c r="P220" s="6"/>
      <c r="Q220" s="6"/>
      <c r="R220" s="679"/>
    </row>
    <row r="221" spans="1:18" ht="15.75" customHeight="1">
      <c r="A221" s="6"/>
      <c r="B221" s="20"/>
      <c r="C221" s="20"/>
      <c r="D221" s="20"/>
      <c r="E221" s="20"/>
      <c r="F221" s="20"/>
      <c r="G221" s="20"/>
      <c r="H221" s="6"/>
      <c r="I221" s="679"/>
      <c r="K221" s="6"/>
      <c r="L221" s="6"/>
      <c r="M221" s="6"/>
      <c r="N221" s="6"/>
      <c r="O221" s="20"/>
      <c r="P221" s="6"/>
      <c r="Q221" s="6"/>
      <c r="R221" s="679"/>
    </row>
    <row r="222" spans="1:18" ht="15.75" customHeight="1">
      <c r="A222" s="6"/>
      <c r="B222" s="20"/>
      <c r="C222" s="20"/>
      <c r="D222" s="20"/>
      <c r="E222" s="20"/>
      <c r="F222" s="20"/>
      <c r="G222" s="20"/>
      <c r="H222" s="6"/>
      <c r="I222" s="679"/>
      <c r="K222" s="6"/>
      <c r="L222" s="6"/>
      <c r="M222" s="6"/>
      <c r="N222" s="6"/>
      <c r="O222" s="20"/>
      <c r="P222" s="6"/>
      <c r="Q222" s="6"/>
      <c r="R222" s="679"/>
    </row>
    <row r="223" spans="1:18" ht="15.75" customHeight="1">
      <c r="A223" s="6"/>
      <c r="B223" s="20"/>
      <c r="C223" s="20"/>
      <c r="D223" s="20"/>
      <c r="E223" s="20"/>
      <c r="F223" s="20"/>
      <c r="G223" s="20"/>
      <c r="H223" s="6"/>
      <c r="I223" s="679"/>
      <c r="K223" s="6"/>
      <c r="L223" s="6"/>
      <c r="M223" s="6"/>
      <c r="N223" s="6"/>
      <c r="O223" s="20"/>
      <c r="P223" s="6"/>
      <c r="Q223" s="6"/>
      <c r="R223" s="679"/>
    </row>
    <row r="224" spans="1:18" ht="15.75" customHeight="1">
      <c r="A224" s="6"/>
      <c r="B224" s="20"/>
      <c r="C224" s="20"/>
      <c r="D224" s="20"/>
      <c r="E224" s="20"/>
      <c r="F224" s="20"/>
      <c r="G224" s="20"/>
      <c r="H224" s="6"/>
      <c r="I224" s="679"/>
      <c r="K224" s="6"/>
      <c r="L224" s="6"/>
      <c r="M224" s="6"/>
      <c r="N224" s="6"/>
      <c r="O224" s="20"/>
      <c r="P224" s="6"/>
      <c r="Q224" s="6"/>
      <c r="R224" s="679"/>
    </row>
    <row r="225" spans="1:18" ht="15.75" customHeight="1">
      <c r="A225" s="6"/>
      <c r="B225" s="20"/>
      <c r="C225" s="20"/>
      <c r="D225" s="20"/>
      <c r="E225" s="20"/>
      <c r="F225" s="20"/>
      <c r="G225" s="20"/>
      <c r="H225" s="6"/>
      <c r="I225" s="679"/>
      <c r="K225" s="6"/>
      <c r="L225" s="6"/>
      <c r="M225" s="6"/>
      <c r="N225" s="6"/>
      <c r="O225" s="20"/>
      <c r="P225" s="6"/>
      <c r="Q225" s="6"/>
      <c r="R225" s="679"/>
    </row>
    <row r="226" spans="1:18" ht="15.75" customHeight="1">
      <c r="A226" s="6"/>
      <c r="B226" s="20"/>
      <c r="C226" s="20"/>
      <c r="D226" s="20"/>
      <c r="E226" s="20"/>
      <c r="F226" s="20"/>
      <c r="G226" s="20"/>
      <c r="H226" s="6"/>
      <c r="I226" s="679"/>
      <c r="K226" s="6"/>
      <c r="L226" s="6"/>
      <c r="M226" s="6"/>
      <c r="N226" s="6"/>
      <c r="O226" s="20"/>
      <c r="P226" s="6"/>
      <c r="Q226" s="6"/>
      <c r="R226" s="679"/>
    </row>
    <row r="227" spans="1:18" ht="15.75" customHeight="1">
      <c r="A227" s="6"/>
      <c r="B227" s="20"/>
      <c r="C227" s="20"/>
      <c r="D227" s="20"/>
      <c r="E227" s="20"/>
      <c r="F227" s="20"/>
      <c r="G227" s="20"/>
      <c r="H227" s="6"/>
      <c r="I227" s="679"/>
      <c r="K227" s="6"/>
      <c r="L227" s="6"/>
      <c r="M227" s="6"/>
      <c r="N227" s="6"/>
      <c r="O227" s="20"/>
      <c r="P227" s="6"/>
      <c r="Q227" s="6"/>
      <c r="R227" s="679"/>
    </row>
    <row r="228" spans="1:18" ht="15.75" customHeight="1">
      <c r="A228" s="6"/>
      <c r="B228" s="20"/>
      <c r="C228" s="20"/>
      <c r="D228" s="20"/>
      <c r="E228" s="20"/>
      <c r="F228" s="20"/>
      <c r="G228" s="20"/>
      <c r="H228" s="6"/>
      <c r="I228" s="679"/>
      <c r="K228" s="6"/>
      <c r="L228" s="6"/>
      <c r="M228" s="6"/>
      <c r="N228" s="6"/>
      <c r="O228" s="20"/>
      <c r="P228" s="6"/>
      <c r="Q228" s="6"/>
      <c r="R228" s="679"/>
    </row>
    <row r="229" spans="1:18" ht="15.75" customHeight="1">
      <c r="A229" s="6"/>
      <c r="B229" s="20"/>
      <c r="C229" s="20"/>
      <c r="D229" s="20"/>
      <c r="E229" s="20"/>
      <c r="F229" s="20"/>
      <c r="G229" s="20"/>
      <c r="H229" s="6"/>
      <c r="I229" s="679"/>
      <c r="K229" s="6"/>
      <c r="L229" s="6"/>
      <c r="M229" s="6"/>
      <c r="N229" s="6"/>
      <c r="O229" s="20"/>
      <c r="P229" s="6"/>
      <c r="Q229" s="6"/>
      <c r="R229" s="679"/>
    </row>
    <row r="230" spans="1:18" ht="15.75" customHeight="1">
      <c r="A230" s="6"/>
      <c r="B230" s="20"/>
      <c r="C230" s="20"/>
      <c r="D230" s="20"/>
      <c r="E230" s="20"/>
      <c r="F230" s="20"/>
      <c r="G230" s="20"/>
      <c r="H230" s="6"/>
      <c r="I230" s="679"/>
      <c r="K230" s="6"/>
      <c r="L230" s="6"/>
      <c r="M230" s="6"/>
      <c r="N230" s="6"/>
      <c r="O230" s="20"/>
      <c r="P230" s="6"/>
      <c r="Q230" s="6"/>
      <c r="R230" s="679"/>
    </row>
    <row r="231" spans="1:18" ht="15.75" customHeight="1">
      <c r="A231" s="6"/>
      <c r="B231" s="20"/>
      <c r="C231" s="20"/>
      <c r="D231" s="20"/>
      <c r="E231" s="20"/>
      <c r="F231" s="20"/>
      <c r="G231" s="20"/>
      <c r="H231" s="6"/>
      <c r="I231" s="679"/>
      <c r="K231" s="6"/>
      <c r="L231" s="6"/>
      <c r="M231" s="6"/>
      <c r="N231" s="6"/>
      <c r="O231" s="20"/>
      <c r="P231" s="6"/>
      <c r="Q231" s="6"/>
      <c r="R231" s="679"/>
    </row>
    <row r="232" spans="1:18" ht="15.75" customHeight="1">
      <c r="A232" s="6"/>
      <c r="B232" s="20"/>
      <c r="C232" s="20"/>
      <c r="D232" s="20"/>
      <c r="E232" s="20"/>
      <c r="F232" s="20"/>
      <c r="G232" s="20"/>
      <c r="H232" s="6"/>
      <c r="I232" s="679"/>
      <c r="K232" s="6"/>
      <c r="L232" s="6"/>
      <c r="M232" s="6"/>
      <c r="N232" s="6"/>
      <c r="O232" s="20"/>
      <c r="P232" s="6"/>
      <c r="Q232" s="6"/>
      <c r="R232" s="679"/>
    </row>
    <row r="233" spans="1:18" ht="15.75" customHeight="1">
      <c r="A233" s="6"/>
      <c r="B233" s="20"/>
      <c r="C233" s="20"/>
      <c r="D233" s="20"/>
      <c r="E233" s="20"/>
      <c r="F233" s="20"/>
      <c r="G233" s="20"/>
      <c r="H233" s="6"/>
      <c r="I233" s="679"/>
      <c r="K233" s="6"/>
      <c r="L233" s="6"/>
      <c r="M233" s="6"/>
      <c r="N233" s="6"/>
      <c r="O233" s="20"/>
      <c r="P233" s="6"/>
      <c r="Q233" s="6"/>
      <c r="R233" s="679"/>
    </row>
    <row r="234" spans="1:18" ht="15.75" customHeight="1">
      <c r="A234" s="6"/>
      <c r="B234" s="20"/>
      <c r="C234" s="20"/>
      <c r="D234" s="20"/>
      <c r="E234" s="20"/>
      <c r="F234" s="20"/>
      <c r="G234" s="20"/>
      <c r="H234" s="6"/>
      <c r="I234" s="679"/>
      <c r="K234" s="6"/>
      <c r="L234" s="6"/>
      <c r="M234" s="6"/>
      <c r="N234" s="6"/>
      <c r="O234" s="20"/>
      <c r="P234" s="6"/>
      <c r="Q234" s="6"/>
      <c r="R234" s="679"/>
    </row>
    <row r="235" spans="1:18" ht="15.75" customHeight="1">
      <c r="A235" s="6"/>
      <c r="B235" s="20"/>
      <c r="C235" s="20"/>
      <c r="D235" s="20"/>
      <c r="E235" s="20"/>
      <c r="F235" s="20"/>
      <c r="G235" s="20"/>
      <c r="H235" s="6"/>
      <c r="I235" s="679"/>
      <c r="K235" s="6"/>
      <c r="L235" s="6"/>
      <c r="M235" s="6"/>
      <c r="N235" s="6"/>
      <c r="O235" s="20"/>
      <c r="P235" s="6"/>
      <c r="Q235" s="6"/>
      <c r="R235" s="679"/>
    </row>
    <row r="236" spans="1:18" ht="15.75" customHeight="1">
      <c r="B236" s="20"/>
      <c r="C236" s="20"/>
      <c r="D236" s="20"/>
      <c r="E236" s="20"/>
      <c r="F236" s="20"/>
      <c r="G236" s="20"/>
      <c r="H236" s="6"/>
      <c r="I236" s="679"/>
      <c r="K236" s="6"/>
      <c r="L236" s="6"/>
      <c r="M236" s="6"/>
      <c r="N236" s="6"/>
      <c r="O236" s="20"/>
      <c r="P236" s="6"/>
      <c r="Q236" s="6"/>
      <c r="R236" s="679"/>
    </row>
    <row r="237" spans="1:18" ht="15.75" customHeight="1">
      <c r="B237" s="20"/>
      <c r="C237" s="20"/>
      <c r="D237" s="20"/>
      <c r="E237" s="20"/>
      <c r="F237" s="20"/>
      <c r="G237" s="20"/>
      <c r="H237" s="6"/>
      <c r="I237" s="679"/>
      <c r="K237" s="6"/>
      <c r="L237" s="6"/>
      <c r="M237" s="6"/>
      <c r="N237" s="6"/>
      <c r="O237" s="20"/>
      <c r="P237" s="6"/>
      <c r="Q237" s="6"/>
      <c r="R237" s="679"/>
    </row>
    <row r="238" spans="1:18" ht="15.75" customHeight="1">
      <c r="B238" s="20"/>
      <c r="C238" s="20"/>
      <c r="D238" s="20"/>
      <c r="E238" s="20"/>
      <c r="F238" s="20"/>
      <c r="G238" s="20"/>
      <c r="H238" s="6"/>
      <c r="I238" s="679"/>
      <c r="O238" s="20"/>
    </row>
    <row r="239" spans="1:18" ht="15.75" customHeight="1">
      <c r="B239" s="20"/>
      <c r="C239" s="20"/>
      <c r="D239" s="20"/>
      <c r="E239" s="20"/>
      <c r="F239" s="20"/>
      <c r="G239" s="20"/>
      <c r="H239" s="6"/>
      <c r="I239" s="679"/>
    </row>
    <row r="240" spans="1:18" ht="15.75" customHeight="1">
      <c r="B240" s="20"/>
      <c r="C240" s="20"/>
      <c r="D240" s="20"/>
      <c r="E240" s="20"/>
      <c r="F240" s="20"/>
      <c r="G240" s="20"/>
      <c r="H240" s="6"/>
      <c r="I240" s="679"/>
    </row>
    <row r="241" spans="2:9" ht="15.75" customHeight="1">
      <c r="B241" s="20"/>
      <c r="C241" s="20"/>
      <c r="D241" s="20"/>
      <c r="E241" s="20"/>
      <c r="F241" s="20"/>
      <c r="G241" s="20"/>
      <c r="H241" s="6"/>
      <c r="I241" s="679"/>
    </row>
    <row r="242" spans="2:9" ht="15.75" customHeight="1">
      <c r="B242" s="20"/>
      <c r="C242" s="20"/>
      <c r="D242" s="20"/>
      <c r="E242" s="20"/>
      <c r="F242" s="20"/>
      <c r="G242" s="20"/>
      <c r="H242" s="6"/>
      <c r="I242" s="679"/>
    </row>
    <row r="243" spans="2:9" ht="15.75" customHeight="1">
      <c r="B243" s="20"/>
      <c r="C243" s="20"/>
      <c r="D243" s="20"/>
      <c r="E243" s="20"/>
      <c r="F243" s="20"/>
      <c r="G243" s="20"/>
      <c r="H243" s="6"/>
      <c r="I243" s="679"/>
    </row>
    <row r="244" spans="2:9" ht="15.75" customHeight="1">
      <c r="B244" s="20"/>
      <c r="C244" s="20"/>
      <c r="D244" s="20"/>
      <c r="E244" s="20"/>
      <c r="F244" s="20"/>
      <c r="G244" s="20"/>
      <c r="H244" s="6"/>
      <c r="I244" s="679"/>
    </row>
    <row r="245" spans="2:9" ht="15.75" customHeight="1">
      <c r="B245" s="20"/>
      <c r="C245" s="20"/>
      <c r="D245" s="20"/>
      <c r="E245" s="20"/>
      <c r="F245" s="20"/>
      <c r="G245" s="20"/>
      <c r="H245" s="6"/>
      <c r="I245" s="679"/>
    </row>
    <row r="246" spans="2:9" ht="15.75" customHeight="1">
      <c r="B246" s="20"/>
      <c r="C246" s="20"/>
      <c r="D246" s="20"/>
      <c r="E246" s="20"/>
      <c r="F246" s="20"/>
      <c r="G246" s="20"/>
      <c r="H246" s="6"/>
      <c r="I246" s="679"/>
    </row>
    <row r="247" spans="2:9" ht="15.75" customHeight="1">
      <c r="B247" s="20"/>
      <c r="C247" s="20"/>
      <c r="D247" s="20"/>
      <c r="E247" s="20"/>
      <c r="F247" s="20"/>
      <c r="G247" s="20"/>
      <c r="H247" s="6"/>
      <c r="I247" s="679"/>
    </row>
    <row r="248" spans="2:9" ht="15.75" customHeight="1">
      <c r="B248" s="20"/>
      <c r="C248" s="20"/>
      <c r="D248" s="20"/>
      <c r="E248" s="20"/>
      <c r="F248" s="20"/>
      <c r="G248" s="20"/>
      <c r="H248" s="6"/>
      <c r="I248" s="679"/>
    </row>
    <row r="249" spans="2:9" ht="15.75" customHeight="1">
      <c r="B249" s="20"/>
      <c r="C249" s="20"/>
      <c r="D249" s="20"/>
      <c r="E249" s="20"/>
      <c r="F249" s="20"/>
      <c r="G249" s="20"/>
      <c r="H249" s="6"/>
      <c r="I249" s="679"/>
    </row>
    <row r="250" spans="2:9" ht="15.75" customHeight="1">
      <c r="B250" s="20"/>
      <c r="C250" s="20"/>
      <c r="D250" s="20"/>
      <c r="E250" s="20"/>
      <c r="F250" s="20"/>
      <c r="G250" s="20"/>
      <c r="H250" s="6"/>
      <c r="I250" s="679"/>
    </row>
    <row r="251" spans="2:9" ht="15.75" customHeight="1">
      <c r="B251" s="20"/>
      <c r="C251" s="20"/>
      <c r="D251" s="20"/>
      <c r="E251" s="20"/>
      <c r="F251" s="20"/>
      <c r="G251" s="20"/>
      <c r="H251" s="6"/>
      <c r="I251" s="679"/>
    </row>
    <row r="252" spans="2:9" ht="15.75" customHeight="1">
      <c r="B252" s="20"/>
      <c r="C252" s="20"/>
      <c r="D252" s="20"/>
      <c r="E252" s="20"/>
      <c r="F252" s="20"/>
      <c r="G252" s="20"/>
      <c r="H252" s="6"/>
      <c r="I252" s="679"/>
    </row>
    <row r="253" spans="2:9" ht="15.75" customHeight="1">
      <c r="B253" s="20"/>
      <c r="C253" s="20"/>
      <c r="D253" s="20"/>
      <c r="E253" s="20"/>
      <c r="F253" s="20"/>
      <c r="G253" s="20"/>
      <c r="H253" s="6"/>
      <c r="I253" s="679"/>
    </row>
    <row r="254" spans="2:9" ht="15.75" customHeight="1">
      <c r="B254" s="20"/>
      <c r="C254" s="20"/>
      <c r="D254" s="20"/>
      <c r="E254" s="20"/>
      <c r="F254" s="20"/>
      <c r="G254" s="20"/>
      <c r="H254" s="6"/>
      <c r="I254" s="679"/>
    </row>
    <row r="255" spans="2:9" ht="15.75" customHeight="1">
      <c r="B255" s="20"/>
      <c r="C255" s="20"/>
      <c r="D255" s="20"/>
      <c r="E255" s="20"/>
      <c r="F255" s="20"/>
      <c r="G255" s="20"/>
      <c r="H255" s="6"/>
      <c r="I255" s="679"/>
    </row>
    <row r="256" spans="2:9" ht="15.75" customHeight="1">
      <c r="B256" s="20"/>
      <c r="C256" s="20"/>
      <c r="D256" s="20"/>
      <c r="E256" s="20"/>
      <c r="F256" s="20"/>
      <c r="G256" s="20"/>
      <c r="H256" s="6"/>
      <c r="I256" s="679"/>
    </row>
    <row r="257" spans="2:9" ht="15.75" customHeight="1">
      <c r="B257" s="20"/>
      <c r="C257" s="20"/>
      <c r="D257" s="20"/>
      <c r="E257" s="20"/>
      <c r="F257" s="20"/>
      <c r="G257" s="20"/>
      <c r="H257" s="6"/>
      <c r="I257" s="679"/>
    </row>
    <row r="258" spans="2:9" ht="15.75" customHeight="1">
      <c r="B258" s="20"/>
      <c r="C258" s="20"/>
      <c r="D258" s="20"/>
      <c r="E258" s="20"/>
      <c r="F258" s="20"/>
      <c r="G258" s="20"/>
      <c r="H258" s="6"/>
      <c r="I258" s="679"/>
    </row>
    <row r="259" spans="2:9" ht="15.75" customHeight="1">
      <c r="B259" s="20"/>
      <c r="C259" s="20"/>
      <c r="D259" s="20"/>
      <c r="E259" s="20"/>
      <c r="F259" s="20"/>
      <c r="G259" s="20"/>
      <c r="H259" s="6"/>
      <c r="I259" s="679"/>
    </row>
    <row r="260" spans="2:9" ht="15.75" customHeight="1">
      <c r="B260" s="20"/>
      <c r="C260" s="20"/>
      <c r="D260" s="20"/>
      <c r="E260" s="20"/>
      <c r="F260" s="20"/>
      <c r="G260" s="20"/>
      <c r="H260" s="6"/>
      <c r="I260" s="679"/>
    </row>
    <row r="261" spans="2:9" ht="15.75" customHeight="1">
      <c r="B261" s="20"/>
      <c r="C261" s="20"/>
      <c r="D261" s="20"/>
      <c r="E261" s="20"/>
      <c r="F261" s="20"/>
      <c r="G261" s="20"/>
      <c r="H261" s="6"/>
      <c r="I261" s="679"/>
    </row>
    <row r="262" spans="2:9" ht="15.75" customHeight="1">
      <c r="B262" s="20"/>
      <c r="C262" s="20"/>
      <c r="D262" s="20"/>
      <c r="E262" s="20"/>
      <c r="F262" s="20"/>
      <c r="G262" s="20"/>
      <c r="H262" s="6"/>
      <c r="I262" s="679"/>
    </row>
    <row r="263" spans="2:9" ht="15" customHeight="1">
      <c r="B263" s="20"/>
      <c r="C263" s="20"/>
      <c r="D263" s="20"/>
      <c r="E263" s="20"/>
      <c r="F263" s="20"/>
      <c r="G263" s="20"/>
      <c r="H263" s="6"/>
      <c r="I263" s="679"/>
    </row>
    <row r="264" spans="2:9" ht="15" customHeight="1">
      <c r="B264" s="20"/>
      <c r="C264" s="20"/>
      <c r="D264" s="20"/>
      <c r="E264" s="20"/>
      <c r="F264" s="20"/>
      <c r="G264" s="20"/>
      <c r="H264" s="6"/>
      <c r="I264" s="679"/>
    </row>
    <row r="265" spans="2:9" ht="15" customHeight="1">
      <c r="B265" s="20"/>
      <c r="C265" s="20"/>
      <c r="D265" s="20"/>
      <c r="E265" s="20"/>
      <c r="F265" s="20"/>
      <c r="G265" s="20"/>
      <c r="H265" s="6"/>
      <c r="I265" s="679"/>
    </row>
    <row r="266" spans="2:9" ht="15" customHeight="1">
      <c r="B266" s="20"/>
      <c r="C266" s="20"/>
      <c r="D266" s="20"/>
      <c r="E266" s="20"/>
      <c r="F266" s="20"/>
      <c r="G266" s="20"/>
      <c r="H266" s="6"/>
      <c r="I266" s="679"/>
    </row>
    <row r="267" spans="2:9" ht="15" customHeight="1">
      <c r="B267" s="20"/>
      <c r="C267" s="20"/>
      <c r="D267" s="20"/>
      <c r="E267" s="20"/>
      <c r="F267" s="20"/>
      <c r="G267" s="20"/>
      <c r="H267" s="6"/>
      <c r="I267" s="679"/>
    </row>
    <row r="268" spans="2:9" ht="15" customHeight="1">
      <c r="B268" s="20"/>
      <c r="C268" s="20"/>
      <c r="D268" s="20"/>
      <c r="E268" s="20"/>
      <c r="F268" s="20"/>
      <c r="G268" s="20"/>
      <c r="H268" s="6"/>
      <c r="I268" s="679"/>
    </row>
    <row r="269" spans="2:9" ht="15" customHeight="1">
      <c r="B269" s="20"/>
      <c r="C269" s="20"/>
      <c r="D269" s="20"/>
      <c r="E269" s="20"/>
      <c r="F269" s="20"/>
      <c r="G269" s="20"/>
      <c r="H269" s="6"/>
      <c r="I269" s="679"/>
    </row>
    <row r="270" spans="2:9" ht="15" customHeight="1">
      <c r="B270" s="20"/>
      <c r="C270" s="20"/>
      <c r="D270" s="20"/>
      <c r="E270" s="20"/>
      <c r="F270" s="20"/>
      <c r="G270" s="20"/>
      <c r="H270" s="6"/>
      <c r="I270" s="679"/>
    </row>
    <row r="271" spans="2:9" ht="15" customHeight="1">
      <c r="B271" s="20"/>
      <c r="C271" s="20"/>
      <c r="D271" s="20"/>
      <c r="E271" s="20"/>
      <c r="F271" s="20"/>
      <c r="G271" s="20"/>
      <c r="H271" s="6"/>
      <c r="I271" s="679"/>
    </row>
    <row r="272" spans="2:9" ht="15" customHeight="1">
      <c r="B272" s="20"/>
      <c r="C272" s="20"/>
      <c r="D272" s="20"/>
      <c r="E272" s="20"/>
      <c r="F272" s="20"/>
      <c r="G272" s="20"/>
      <c r="H272" s="6"/>
      <c r="I272" s="679"/>
    </row>
    <row r="273" spans="2:9" ht="15" customHeight="1">
      <c r="B273" s="20"/>
      <c r="I273" s="679"/>
    </row>
  </sheetData>
  <mergeCells count="102">
    <mergeCell ref="K70:L70"/>
    <mergeCell ref="K65:L65"/>
    <mergeCell ref="K66:L66"/>
    <mergeCell ref="K67:L67"/>
    <mergeCell ref="K68:L68"/>
    <mergeCell ref="K69:L69"/>
    <mergeCell ref="K60:L60"/>
    <mergeCell ref="K61:L61"/>
    <mergeCell ref="K62:L62"/>
    <mergeCell ref="K63:L63"/>
    <mergeCell ref="K64:L64"/>
    <mergeCell ref="B101:C101"/>
    <mergeCell ref="K16:L16"/>
    <mergeCell ref="K30:L30"/>
    <mergeCell ref="K31:L31"/>
    <mergeCell ref="K32:L32"/>
    <mergeCell ref="K33:L33"/>
    <mergeCell ref="K34:L34"/>
    <mergeCell ref="K41:L41"/>
    <mergeCell ref="K38:L38"/>
    <mergeCell ref="K36:L36"/>
    <mergeCell ref="K47:L47"/>
    <mergeCell ref="K48:L48"/>
    <mergeCell ref="K49:L49"/>
    <mergeCell ref="K51:L51"/>
    <mergeCell ref="K57:L57"/>
    <mergeCell ref="K59:L59"/>
    <mergeCell ref="B76:C76"/>
    <mergeCell ref="B92:C92"/>
    <mergeCell ref="B98:C98"/>
    <mergeCell ref="B99:C99"/>
    <mergeCell ref="B100:C10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23:C23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R108:R110"/>
    <mergeCell ref="B2:C2"/>
    <mergeCell ref="F2:G3"/>
    <mergeCell ref="K44:L45"/>
    <mergeCell ref="O44:P45"/>
    <mergeCell ref="O2:P4"/>
    <mergeCell ref="K2:L4"/>
    <mergeCell ref="D2:D3"/>
    <mergeCell ref="M44:M45"/>
    <mergeCell ref="M2:M4"/>
    <mergeCell ref="K72:L73"/>
    <mergeCell ref="M72:M73"/>
    <mergeCell ref="O72:P73"/>
    <mergeCell ref="B7:C9"/>
    <mergeCell ref="F7:G9"/>
    <mergeCell ref="B22:C22"/>
    <mergeCell ref="B27:C29"/>
    <mergeCell ref="F27:G29"/>
    <mergeCell ref="B24:I25"/>
    <mergeCell ref="D7:D9"/>
    <mergeCell ref="D27:D29"/>
    <mergeCell ref="B17:C17"/>
    <mergeCell ref="B12:C12"/>
    <mergeCell ref="B16:C16"/>
  </mergeCells>
  <phoneticPr fontId="12" type="noConversion"/>
  <printOptions horizontalCentered="1" verticalCentered="1"/>
  <pageMargins left="0.23622047244094491" right="0.23622047244094491" top="0.35433070866141736" bottom="0.35433070866141736" header="0" footer="0"/>
  <pageSetup scale="4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FE34-130D-4173-AB4D-707CA3ECA1EF}">
  <sheetPr>
    <pageSetUpPr fitToPage="1"/>
  </sheetPr>
  <dimension ref="A1:V252"/>
  <sheetViews>
    <sheetView zoomScale="70" zoomScaleNormal="70" workbookViewId="0">
      <selection activeCell="G35" sqref="G35:H35"/>
    </sheetView>
  </sheetViews>
  <sheetFormatPr baseColWidth="10" defaultColWidth="14.42578125" defaultRowHeight="15" customHeight="1"/>
  <cols>
    <col min="1" max="1" width="1.7109375" style="6" customWidth="1"/>
    <col min="2" max="2" width="6.7109375" style="6" customWidth="1"/>
    <col min="3" max="3" width="7.7109375" style="6" customWidth="1"/>
    <col min="4" max="4" width="9.140625" style="6" customWidth="1"/>
    <col min="5" max="5" width="0.7109375" style="6" customWidth="1"/>
    <col min="6" max="6" width="10.7109375" style="20" customWidth="1"/>
    <col min="7" max="7" width="15.28515625" style="20" bestFit="1" customWidth="1"/>
    <col min="8" max="8" width="14.85546875" style="20" customWidth="1"/>
    <col min="9" max="9" width="31.7109375" style="6" customWidth="1"/>
    <col min="10" max="10" width="10.7109375" style="6" customWidth="1"/>
    <col min="11" max="11" width="1.7109375" style="6" customWidth="1"/>
    <col min="12" max="12" width="8.5703125" style="6" bestFit="1" customWidth="1"/>
    <col min="13" max="13" width="7.7109375" style="6" customWidth="1"/>
    <col min="14" max="14" width="9.28515625" style="6" customWidth="1"/>
    <col min="15" max="15" width="0.7109375" style="6" customWidth="1"/>
    <col min="16" max="16" width="9.5703125" style="6" customWidth="1"/>
    <col min="17" max="17" width="13.7109375" style="20" customWidth="1"/>
    <col min="18" max="18" width="55.5703125" style="6" customWidth="1"/>
    <col min="19" max="19" width="10.7109375" style="20" customWidth="1"/>
    <col min="20" max="20" width="14.42578125" style="18" customWidth="1"/>
    <col min="21" max="21" width="14.42578125" style="939" customWidth="1"/>
    <col min="22" max="27" width="14.42578125" style="6" customWidth="1"/>
    <col min="28" max="16384" width="14.42578125" style="6"/>
  </cols>
  <sheetData>
    <row r="1" spans="2:21" ht="15" customHeight="1" thickBot="1">
      <c r="S1" s="2373" t="s">
        <v>1046</v>
      </c>
      <c r="T1" s="2373"/>
    </row>
    <row r="2" spans="2:21" ht="15.75" customHeight="1">
      <c r="B2" s="105" t="s">
        <v>278</v>
      </c>
      <c r="C2" s="106"/>
      <c r="D2" s="1329"/>
      <c r="E2" s="106"/>
      <c r="F2" s="354"/>
      <c r="G2" s="106"/>
      <c r="H2" s="106"/>
      <c r="I2" s="106"/>
      <c r="J2" s="106"/>
      <c r="L2" s="1912" t="s">
        <v>640</v>
      </c>
      <c r="M2" s="1916"/>
      <c r="N2" s="2329" t="s">
        <v>1174</v>
      </c>
      <c r="O2" s="61"/>
      <c r="P2" s="2548" t="s">
        <v>677</v>
      </c>
      <c r="Q2" s="2549"/>
      <c r="R2" s="215" t="s">
        <v>341</v>
      </c>
      <c r="S2" s="438"/>
      <c r="T2" s="693" t="s">
        <v>723</v>
      </c>
    </row>
    <row r="3" spans="2:21" ht="15.75" customHeight="1" thickBot="1">
      <c r="B3"/>
      <c r="C3"/>
      <c r="D3"/>
      <c r="E3"/>
      <c r="F3" s="17"/>
      <c r="G3"/>
      <c r="H3"/>
      <c r="I3"/>
      <c r="J3" s="75"/>
      <c r="L3" s="1947" t="s">
        <v>5</v>
      </c>
      <c r="M3" s="1960" t="s">
        <v>6</v>
      </c>
      <c r="N3" s="2330"/>
      <c r="O3" s="62"/>
      <c r="P3" s="2546" t="s">
        <v>678</v>
      </c>
      <c r="Q3" s="2547"/>
      <c r="R3" s="216" t="s">
        <v>476</v>
      </c>
      <c r="S3" s="439"/>
      <c r="T3" s="646"/>
      <c r="U3" s="944"/>
    </row>
    <row r="4" spans="2:21" ht="15.75" customHeight="1" thickBot="1">
      <c r="B4" s="2476" t="s">
        <v>640</v>
      </c>
      <c r="C4" s="2477"/>
      <c r="D4" s="2329" t="s">
        <v>1174</v>
      </c>
      <c r="E4" s="66"/>
      <c r="F4" s="2480" t="s">
        <v>850</v>
      </c>
      <c r="G4" s="2481"/>
      <c r="H4" s="215" t="s">
        <v>851</v>
      </c>
      <c r="I4" s="728"/>
      <c r="J4" s="167" t="s">
        <v>723</v>
      </c>
      <c r="L4" s="1948"/>
      <c r="M4" s="2550"/>
      <c r="N4" s="2330"/>
      <c r="O4" s="62"/>
      <c r="P4" s="2546" t="s">
        <v>254</v>
      </c>
      <c r="Q4" s="2547"/>
      <c r="R4" s="442" t="s">
        <v>157</v>
      </c>
      <c r="S4" s="574"/>
      <c r="T4" s="647"/>
    </row>
    <row r="5" spans="2:21" ht="15.75" customHeight="1">
      <c r="B5" s="2478"/>
      <c r="C5" s="2479"/>
      <c r="D5" s="2330"/>
      <c r="E5" s="67"/>
      <c r="F5" s="2482"/>
      <c r="G5" s="2483"/>
      <c r="H5" s="729" t="s">
        <v>853</v>
      </c>
      <c r="I5" s="730"/>
      <c r="J5" s="30"/>
      <c r="L5" s="1949"/>
      <c r="M5" s="2551"/>
      <c r="N5" s="2330"/>
      <c r="O5" s="40"/>
      <c r="P5" s="575" t="s">
        <v>7</v>
      </c>
      <c r="Q5" s="576" t="s">
        <v>273</v>
      </c>
      <c r="R5" s="98" t="s">
        <v>0</v>
      </c>
      <c r="S5" s="577" t="s">
        <v>1</v>
      </c>
      <c r="T5" s="648" t="s">
        <v>138</v>
      </c>
    </row>
    <row r="6" spans="2:21" ht="15.75" customHeight="1">
      <c r="B6" s="63" t="s">
        <v>5</v>
      </c>
      <c r="C6" s="1334" t="s">
        <v>6</v>
      </c>
      <c r="D6" s="1259"/>
      <c r="E6" s="65"/>
      <c r="F6" s="2484"/>
      <c r="G6" s="2485"/>
      <c r="H6" s="60" t="s">
        <v>852</v>
      </c>
      <c r="I6" s="612"/>
      <c r="J6" s="217"/>
      <c r="K6" s="75"/>
      <c r="L6" s="56">
        <v>1</v>
      </c>
      <c r="M6" s="590">
        <v>3</v>
      </c>
      <c r="N6" s="1411"/>
      <c r="O6" s="62"/>
      <c r="P6" s="1241"/>
      <c r="Q6" s="440">
        <v>92020</v>
      </c>
      <c r="R6" s="580" t="s">
        <v>793</v>
      </c>
      <c r="S6" s="578" t="s">
        <v>794</v>
      </c>
      <c r="T6" s="649">
        <v>1548</v>
      </c>
    </row>
    <row r="7" spans="2:21" ht="15.75" customHeight="1" thickBot="1">
      <c r="B7" s="154">
        <v>1</v>
      </c>
      <c r="C7" s="1265">
        <v>2</v>
      </c>
      <c r="D7" s="1337"/>
      <c r="E7" s="68"/>
      <c r="F7" s="748"/>
      <c r="G7" s="749" t="s">
        <v>11</v>
      </c>
      <c r="H7" s="750" t="s">
        <v>854</v>
      </c>
      <c r="I7" s="751"/>
      <c r="J7" s="752"/>
      <c r="L7" s="404" t="s">
        <v>1421</v>
      </c>
      <c r="M7" s="37">
        <v>1</v>
      </c>
      <c r="N7" s="1432"/>
      <c r="O7" s="62"/>
      <c r="P7" s="1240"/>
      <c r="Q7" s="435">
        <v>33720</v>
      </c>
      <c r="R7" s="581" t="s">
        <v>552</v>
      </c>
      <c r="S7" s="579" t="s">
        <v>149</v>
      </c>
      <c r="T7" s="650" t="s">
        <v>496</v>
      </c>
    </row>
    <row r="8" spans="2:21" ht="15.75" customHeight="1" thickBot="1">
      <c r="B8" s="75"/>
      <c r="C8" s="75"/>
      <c r="D8" s="75"/>
      <c r="E8" s="75"/>
      <c r="F8" s="75"/>
      <c r="G8" s="75"/>
      <c r="H8" s="75"/>
      <c r="I8" s="75"/>
      <c r="J8" s="1002"/>
      <c r="L8" s="404" t="s">
        <v>1421</v>
      </c>
      <c r="M8" s="590" t="s">
        <v>9</v>
      </c>
      <c r="N8" s="1411"/>
      <c r="O8" s="62"/>
      <c r="P8" s="1241"/>
      <c r="Q8" s="440">
        <v>70901</v>
      </c>
      <c r="R8" s="580" t="s">
        <v>802</v>
      </c>
      <c r="S8" s="578" t="s">
        <v>15</v>
      </c>
      <c r="T8" s="649">
        <v>1686</v>
      </c>
    </row>
    <row r="9" spans="2:21" ht="15.75" customHeight="1">
      <c r="B9" s="1912" t="s">
        <v>640</v>
      </c>
      <c r="C9" s="1913"/>
      <c r="D9" s="2329" t="s">
        <v>1174</v>
      </c>
      <c r="E9" s="72"/>
      <c r="F9" s="2527" t="s">
        <v>294</v>
      </c>
      <c r="G9" s="2528"/>
      <c r="H9" s="73" t="s">
        <v>343</v>
      </c>
      <c r="I9" s="74"/>
      <c r="J9" s="487" t="s">
        <v>4</v>
      </c>
      <c r="L9" s="55">
        <v>1</v>
      </c>
      <c r="M9" s="37">
        <v>2</v>
      </c>
      <c r="N9" s="1433"/>
      <c r="O9" s="62"/>
      <c r="P9" s="1240"/>
      <c r="Q9" s="435">
        <v>10892</v>
      </c>
      <c r="R9" s="581" t="s">
        <v>158</v>
      </c>
      <c r="S9" s="579" t="s">
        <v>105</v>
      </c>
      <c r="T9" s="650">
        <v>1000</v>
      </c>
    </row>
    <row r="10" spans="2:21" ht="15.75" customHeight="1">
      <c r="B10" s="1947" t="s">
        <v>5</v>
      </c>
      <c r="C10" s="2525" t="s">
        <v>6</v>
      </c>
      <c r="D10" s="2330"/>
      <c r="E10" s="32"/>
      <c r="F10" s="2529"/>
      <c r="G10" s="2530"/>
      <c r="H10" s="53" t="s">
        <v>272</v>
      </c>
      <c r="I10" s="71"/>
      <c r="J10" s="2552" t="s">
        <v>138</v>
      </c>
      <c r="L10" s="404" t="s">
        <v>1421</v>
      </c>
      <c r="M10" s="590" t="s">
        <v>9</v>
      </c>
      <c r="N10" s="1411"/>
      <c r="O10" s="62"/>
      <c r="P10" s="1241"/>
      <c r="Q10" s="440">
        <v>82909</v>
      </c>
      <c r="R10" s="580" t="s">
        <v>761</v>
      </c>
      <c r="S10" s="578" t="s">
        <v>105</v>
      </c>
      <c r="T10" s="649">
        <v>2892</v>
      </c>
    </row>
    <row r="11" spans="2:21" ht="15.75" customHeight="1">
      <c r="B11" s="2492"/>
      <c r="C11" s="2526"/>
      <c r="D11" s="1331"/>
      <c r="E11" s="64"/>
      <c r="F11" s="2486" t="s">
        <v>353</v>
      </c>
      <c r="G11" s="2487"/>
      <c r="H11" s="207" t="s">
        <v>139</v>
      </c>
      <c r="I11" s="71"/>
      <c r="J11" s="2553"/>
      <c r="L11" s="404" t="s">
        <v>1421</v>
      </c>
      <c r="M11" s="37" t="s">
        <v>9</v>
      </c>
      <c r="N11" s="1433"/>
      <c r="O11" s="62"/>
      <c r="P11" s="1240"/>
      <c r="Q11" s="435">
        <v>70166</v>
      </c>
      <c r="R11" s="581" t="s">
        <v>806</v>
      </c>
      <c r="S11" s="579" t="s">
        <v>15</v>
      </c>
      <c r="T11" s="650">
        <v>2260</v>
      </c>
    </row>
    <row r="12" spans="2:21" ht="15.75" customHeight="1">
      <c r="B12" s="2492"/>
      <c r="C12" s="2526"/>
      <c r="D12" s="1331"/>
      <c r="E12" s="75"/>
      <c r="F12" s="2488"/>
      <c r="G12" s="2489"/>
      <c r="H12" s="208" t="s">
        <v>444</v>
      </c>
      <c r="I12" s="71"/>
      <c r="J12" s="1977"/>
      <c r="L12" s="404" t="s">
        <v>1421</v>
      </c>
      <c r="M12" s="590" t="s">
        <v>9</v>
      </c>
      <c r="N12" s="1411"/>
      <c r="O12" s="62"/>
      <c r="P12" s="1241"/>
      <c r="Q12" s="440">
        <v>81069</v>
      </c>
      <c r="R12" s="580" t="s">
        <v>956</v>
      </c>
      <c r="S12" s="578" t="s">
        <v>15</v>
      </c>
      <c r="T12" s="649" t="s">
        <v>496</v>
      </c>
    </row>
    <row r="13" spans="2:21" ht="15.75" customHeight="1" thickBot="1">
      <c r="B13" s="76">
        <v>0.4</v>
      </c>
      <c r="C13" s="1330">
        <v>0.8</v>
      </c>
      <c r="D13" s="1425"/>
      <c r="E13" s="32"/>
      <c r="F13" s="1426"/>
      <c r="G13" s="13" t="s">
        <v>46</v>
      </c>
      <c r="H13" s="2507" t="s">
        <v>142</v>
      </c>
      <c r="I13" s="2508"/>
      <c r="J13" s="166">
        <v>532.77</v>
      </c>
      <c r="L13" s="55"/>
      <c r="M13" s="1889" t="s">
        <v>661</v>
      </c>
      <c r="N13" s="1433"/>
      <c r="O13" s="62"/>
      <c r="P13" s="1345"/>
      <c r="Q13" s="435" t="s">
        <v>520</v>
      </c>
      <c r="R13" s="581" t="s">
        <v>521</v>
      </c>
      <c r="S13" s="579" t="s">
        <v>15</v>
      </c>
      <c r="T13" s="650">
        <v>910</v>
      </c>
    </row>
    <row r="14" spans="2:21" ht="15.75" customHeight="1">
      <c r="B14" s="2493" t="s">
        <v>270</v>
      </c>
      <c r="C14" s="2494"/>
      <c r="D14" s="2495"/>
      <c r="E14" s="2494"/>
      <c r="F14" s="2494"/>
      <c r="G14" s="2494"/>
      <c r="H14" s="2494"/>
      <c r="I14" s="2494"/>
      <c r="J14" s="2496"/>
      <c r="L14" s="56">
        <v>8</v>
      </c>
      <c r="M14" s="590">
        <v>18</v>
      </c>
      <c r="N14" s="1369"/>
      <c r="O14" s="62"/>
      <c r="P14" s="1241"/>
      <c r="Q14" s="440">
        <v>51204</v>
      </c>
      <c r="R14" s="580" t="s">
        <v>397</v>
      </c>
      <c r="S14" s="578" t="s">
        <v>172</v>
      </c>
      <c r="T14" s="649">
        <v>1671</v>
      </c>
    </row>
    <row r="15" spans="2:21" ht="15" customHeight="1">
      <c r="B15" s="2497" t="s">
        <v>269</v>
      </c>
      <c r="C15" s="2495"/>
      <c r="D15" s="2495"/>
      <c r="E15" s="2495"/>
      <c r="F15" s="2495"/>
      <c r="G15" s="2495"/>
      <c r="H15" s="2495"/>
      <c r="I15" s="2495"/>
      <c r="J15" s="2498"/>
      <c r="L15" s="55">
        <v>8</v>
      </c>
      <c r="M15" s="37">
        <v>18</v>
      </c>
      <c r="N15" s="1432"/>
      <c r="O15" s="62"/>
      <c r="P15" s="1240"/>
      <c r="Q15" s="435">
        <v>81764</v>
      </c>
      <c r="R15" s="581" t="s">
        <v>459</v>
      </c>
      <c r="S15" s="579" t="s">
        <v>15</v>
      </c>
      <c r="T15" s="650">
        <v>748</v>
      </c>
    </row>
    <row r="16" spans="2:21" ht="15.75" customHeight="1" thickBot="1">
      <c r="B16" s="2499" t="s">
        <v>268</v>
      </c>
      <c r="C16" s="2500"/>
      <c r="D16" s="2500"/>
      <c r="E16" s="2500"/>
      <c r="F16" s="2500"/>
      <c r="G16" s="2500"/>
      <c r="H16" s="2500"/>
      <c r="I16" s="2500"/>
      <c r="J16" s="2501"/>
      <c r="L16" s="56">
        <v>1</v>
      </c>
      <c r="M16" s="590">
        <v>2</v>
      </c>
      <c r="N16" s="1369"/>
      <c r="O16" s="62"/>
      <c r="P16" s="1241"/>
      <c r="Q16" s="440">
        <v>13091</v>
      </c>
      <c r="R16" s="580" t="s">
        <v>159</v>
      </c>
      <c r="S16" s="578" t="s">
        <v>146</v>
      </c>
      <c r="T16" s="649">
        <v>493</v>
      </c>
    </row>
    <row r="17" spans="1:22" ht="15.75" customHeight="1" thickBot="1">
      <c r="B17" s="18"/>
      <c r="C17" s="18"/>
      <c r="D17" s="18"/>
      <c r="E17" s="18"/>
      <c r="F17" s="2502"/>
      <c r="G17" s="2502"/>
      <c r="H17" s="86"/>
      <c r="I17" s="18"/>
      <c r="J17" s="18"/>
      <c r="L17" s="55">
        <v>2</v>
      </c>
      <c r="M17" s="37">
        <v>6</v>
      </c>
      <c r="N17" s="1432"/>
      <c r="O17" s="62"/>
      <c r="P17" s="1240"/>
      <c r="Q17" s="435">
        <v>10764</v>
      </c>
      <c r="R17" s="581" t="s">
        <v>495</v>
      </c>
      <c r="S17" s="579" t="s">
        <v>160</v>
      </c>
      <c r="T17" s="650">
        <v>643</v>
      </c>
    </row>
    <row r="18" spans="1:22" ht="15.75" customHeight="1">
      <c r="B18" s="1912" t="s">
        <v>640</v>
      </c>
      <c r="C18" s="1913"/>
      <c r="D18" s="2329" t="s">
        <v>1174</v>
      </c>
      <c r="E18" s="61"/>
      <c r="F18" s="2480" t="s">
        <v>131</v>
      </c>
      <c r="G18" s="2515"/>
      <c r="H18" s="90" t="s">
        <v>344</v>
      </c>
      <c r="I18" s="119"/>
      <c r="J18" s="167" t="s">
        <v>723</v>
      </c>
      <c r="L18" s="56" t="s">
        <v>9</v>
      </c>
      <c r="M18" s="590">
        <v>1</v>
      </c>
      <c r="N18" s="1369"/>
      <c r="O18" s="62"/>
      <c r="P18" s="1241"/>
      <c r="Q18" s="440">
        <v>27960</v>
      </c>
      <c r="R18" s="580" t="s">
        <v>542</v>
      </c>
      <c r="S18" s="578" t="s">
        <v>15</v>
      </c>
      <c r="T18" s="649">
        <v>10428</v>
      </c>
    </row>
    <row r="19" spans="1:22" ht="15.75" customHeight="1">
      <c r="B19" s="28" t="s">
        <v>5</v>
      </c>
      <c r="C19" s="912" t="s">
        <v>6</v>
      </c>
      <c r="D19" s="2330"/>
      <c r="E19" s="62"/>
      <c r="F19" s="2516"/>
      <c r="G19" s="2517"/>
      <c r="H19" s="19" t="s">
        <v>132</v>
      </c>
      <c r="I19" s="614"/>
      <c r="J19" s="37"/>
      <c r="K19" s="18"/>
      <c r="L19" s="55" t="s">
        <v>9</v>
      </c>
      <c r="M19" s="37">
        <v>1</v>
      </c>
      <c r="N19" s="1432"/>
      <c r="O19" s="62"/>
      <c r="P19" s="1240"/>
      <c r="Q19" s="435">
        <v>77273</v>
      </c>
      <c r="R19" s="581" t="s">
        <v>743</v>
      </c>
      <c r="S19" s="579" t="s">
        <v>15</v>
      </c>
      <c r="T19" s="650">
        <v>9286</v>
      </c>
    </row>
    <row r="20" spans="1:22" ht="15.75" customHeight="1">
      <c r="B20" s="152">
        <v>25</v>
      </c>
      <c r="C20" s="1233">
        <v>100</v>
      </c>
      <c r="D20" s="1241"/>
      <c r="E20" s="153"/>
      <c r="F20" s="341"/>
      <c r="G20" s="10" t="s">
        <v>134</v>
      </c>
      <c r="H20" s="309" t="s">
        <v>135</v>
      </c>
      <c r="I20" s="1003"/>
      <c r="J20" s="57"/>
      <c r="K20" s="18"/>
      <c r="L20" s="404" t="s">
        <v>1421</v>
      </c>
      <c r="M20" s="590">
        <v>1</v>
      </c>
      <c r="N20" s="1411"/>
      <c r="O20" s="62"/>
      <c r="P20" s="1241"/>
      <c r="Q20" s="440">
        <v>92024</v>
      </c>
      <c r="R20" s="580" t="s">
        <v>491</v>
      </c>
      <c r="S20" s="578" t="s">
        <v>149</v>
      </c>
      <c r="T20" s="649">
        <v>14979</v>
      </c>
    </row>
    <row r="21" spans="1:22" ht="15.75" customHeight="1">
      <c r="B21" s="31">
        <v>30</v>
      </c>
      <c r="C21" s="1231">
        <v>100</v>
      </c>
      <c r="D21" s="1317"/>
      <c r="E21" s="40"/>
      <c r="F21" s="1427"/>
      <c r="G21" s="12" t="s">
        <v>134</v>
      </c>
      <c r="H21" s="12" t="s">
        <v>258</v>
      </c>
      <c r="I21" s="615"/>
      <c r="J21" s="35"/>
      <c r="K21" s="18"/>
      <c r="L21" s="404" t="s">
        <v>1421</v>
      </c>
      <c r="M21" s="37" t="s">
        <v>9</v>
      </c>
      <c r="N21" s="1433"/>
      <c r="O21" s="62"/>
      <c r="P21" s="1240"/>
      <c r="Q21" s="435" t="s">
        <v>555</v>
      </c>
      <c r="R21" s="581" t="s">
        <v>554</v>
      </c>
      <c r="S21" s="579" t="s">
        <v>15</v>
      </c>
      <c r="T21" s="650">
        <v>900</v>
      </c>
    </row>
    <row r="22" spans="1:22" ht="15.75" customHeight="1">
      <c r="B22" s="36">
        <v>20</v>
      </c>
      <c r="C22" s="1233">
        <v>50</v>
      </c>
      <c r="D22" s="1241"/>
      <c r="E22" s="40"/>
      <c r="F22" s="341"/>
      <c r="G22" s="10" t="s">
        <v>134</v>
      </c>
      <c r="H22" s="10" t="s">
        <v>257</v>
      </c>
      <c r="I22" s="621"/>
      <c r="J22" s="57"/>
      <c r="K22" s="18"/>
      <c r="L22" s="404" t="s">
        <v>1421</v>
      </c>
      <c r="M22" s="590" t="s">
        <v>9</v>
      </c>
      <c r="N22" s="1411"/>
      <c r="O22" s="62"/>
      <c r="P22" s="1241"/>
      <c r="Q22" s="440" t="s">
        <v>798</v>
      </c>
      <c r="R22" s="580" t="s">
        <v>799</v>
      </c>
      <c r="S22" s="578" t="s">
        <v>15</v>
      </c>
      <c r="T22" s="649"/>
    </row>
    <row r="23" spans="1:22" ht="16.5" thickBot="1">
      <c r="B23" s="154">
        <v>20</v>
      </c>
      <c r="C23" s="1265">
        <v>50</v>
      </c>
      <c r="D23" s="1268"/>
      <c r="E23" s="58"/>
      <c r="F23" s="342"/>
      <c r="G23" s="45" t="s">
        <v>134</v>
      </c>
      <c r="H23" s="45" t="s">
        <v>256</v>
      </c>
      <c r="I23" s="610"/>
      <c r="J23" s="155"/>
      <c r="K23" s="18"/>
      <c r="L23" s="404" t="s">
        <v>1421</v>
      </c>
      <c r="M23" s="37" t="s">
        <v>9</v>
      </c>
      <c r="N23" s="1433"/>
      <c r="O23" s="62"/>
      <c r="P23" s="1240"/>
      <c r="Q23" s="435" t="s">
        <v>800</v>
      </c>
      <c r="R23" s="581" t="s">
        <v>801</v>
      </c>
      <c r="S23" s="579" t="s">
        <v>15</v>
      </c>
      <c r="T23" s="650"/>
    </row>
    <row r="24" spans="1:22" ht="15.75" customHeight="1" thickBot="1">
      <c r="K24" s="18"/>
      <c r="L24" s="404" t="s">
        <v>1421</v>
      </c>
      <c r="M24" s="1891" t="s">
        <v>9</v>
      </c>
      <c r="N24" s="1411"/>
      <c r="O24" s="62"/>
      <c r="P24" s="1241"/>
      <c r="Q24" s="440">
        <v>91533</v>
      </c>
      <c r="R24" s="580" t="s">
        <v>955</v>
      </c>
      <c r="S24" s="578" t="s">
        <v>15</v>
      </c>
      <c r="T24" s="649">
        <v>53919</v>
      </c>
      <c r="U24" s="939">
        <v>53919</v>
      </c>
      <c r="V24" s="6" t="s">
        <v>954</v>
      </c>
    </row>
    <row r="25" spans="1:22" ht="15.75" customHeight="1">
      <c r="B25" s="1912" t="s">
        <v>640</v>
      </c>
      <c r="C25" s="1962"/>
      <c r="D25" s="2329" t="s">
        <v>1174</v>
      </c>
      <c r="E25" s="61"/>
      <c r="F25" s="2480" t="s">
        <v>840</v>
      </c>
      <c r="G25" s="2481"/>
      <c r="H25" s="215" t="s">
        <v>153</v>
      </c>
      <c r="I25" s="96"/>
      <c r="J25" s="436" t="s">
        <v>723</v>
      </c>
      <c r="K25" s="18"/>
      <c r="L25" s="190">
        <v>1</v>
      </c>
      <c r="M25" s="1894">
        <v>4</v>
      </c>
      <c r="N25" s="1432"/>
      <c r="O25" s="62"/>
      <c r="P25" s="1240"/>
      <c r="Q25" s="435">
        <v>74411</v>
      </c>
      <c r="R25" s="581" t="s">
        <v>161</v>
      </c>
      <c r="S25" s="579" t="s">
        <v>11</v>
      </c>
      <c r="T25" s="650">
        <v>3752</v>
      </c>
    </row>
    <row r="26" spans="1:22" s="18" customFormat="1" ht="15.75" customHeight="1">
      <c r="B26" s="28" t="s">
        <v>5</v>
      </c>
      <c r="C26" s="912" t="s">
        <v>6</v>
      </c>
      <c r="D26" s="2330"/>
      <c r="E26" s="62"/>
      <c r="F26" s="2490"/>
      <c r="G26" s="2491"/>
      <c r="H26" s="746" t="s">
        <v>154</v>
      </c>
      <c r="I26" s="193"/>
      <c r="J26" s="369" t="s">
        <v>138</v>
      </c>
      <c r="L26" s="1685">
        <v>2</v>
      </c>
      <c r="M26" s="1891">
        <v>4</v>
      </c>
      <c r="N26" s="1369"/>
      <c r="O26" s="62"/>
      <c r="P26" s="1241"/>
      <c r="Q26" s="440">
        <v>19926</v>
      </c>
      <c r="R26" s="580" t="s">
        <v>803</v>
      </c>
      <c r="S26" s="578" t="s">
        <v>15</v>
      </c>
      <c r="T26" s="649">
        <v>2614</v>
      </c>
      <c r="U26" s="939"/>
    </row>
    <row r="27" spans="1:22" s="18" customFormat="1" ht="15.75" customHeight="1" thickBot="1">
      <c r="B27" s="744">
        <v>1</v>
      </c>
      <c r="C27" s="1332">
        <v>3</v>
      </c>
      <c r="D27" s="1428"/>
      <c r="E27" s="81"/>
      <c r="F27" s="1429"/>
      <c r="G27" s="111" t="s">
        <v>11</v>
      </c>
      <c r="H27" s="745" t="s">
        <v>841</v>
      </c>
      <c r="I27" s="747"/>
      <c r="J27" s="202">
        <v>3367</v>
      </c>
      <c r="L27" s="210">
        <v>1</v>
      </c>
      <c r="M27" s="1817">
        <v>2</v>
      </c>
      <c r="N27" s="1433"/>
      <c r="O27" s="62"/>
      <c r="P27" s="1240"/>
      <c r="Q27" s="435">
        <v>78138</v>
      </c>
      <c r="R27" s="581" t="s">
        <v>805</v>
      </c>
      <c r="S27" s="579" t="s">
        <v>15</v>
      </c>
      <c r="T27" s="650">
        <v>1546</v>
      </c>
      <c r="U27" s="939"/>
    </row>
    <row r="28" spans="1:22" s="18" customFormat="1" ht="15.75" customHeight="1" thickBot="1">
      <c r="B28" s="6"/>
      <c r="C28" s="6"/>
      <c r="D28" s="6"/>
      <c r="E28" s="6"/>
      <c r="F28" s="20"/>
      <c r="G28" s="20"/>
      <c r="H28" s="20"/>
      <c r="I28" s="6"/>
      <c r="J28" s="6"/>
      <c r="L28" s="404" t="s">
        <v>1421</v>
      </c>
      <c r="M28" s="1891">
        <v>20</v>
      </c>
      <c r="N28" s="1411"/>
      <c r="O28" s="62"/>
      <c r="P28" s="1241"/>
      <c r="Q28" s="440">
        <v>33357</v>
      </c>
      <c r="R28" s="580" t="s">
        <v>460</v>
      </c>
      <c r="S28" s="578" t="s">
        <v>116</v>
      </c>
      <c r="T28" s="649">
        <v>4999</v>
      </c>
      <c r="U28" s="939"/>
      <c r="V28" s="1039"/>
    </row>
    <row r="29" spans="1:22" s="18" customFormat="1" ht="15.75" customHeight="1">
      <c r="B29" s="2332" t="s">
        <v>640</v>
      </c>
      <c r="C29" s="2425"/>
      <c r="D29" s="2329" t="s">
        <v>1174</v>
      </c>
      <c r="E29" s="61"/>
      <c r="F29" s="2509" t="s">
        <v>1292</v>
      </c>
      <c r="G29" s="2510"/>
      <c r="H29" s="2511"/>
      <c r="I29" s="46" t="s">
        <v>274</v>
      </c>
      <c r="J29" s="487" t="s">
        <v>4</v>
      </c>
      <c r="L29" s="404" t="s">
        <v>1421</v>
      </c>
      <c r="M29" s="1817">
        <v>20</v>
      </c>
      <c r="N29" s="1433"/>
      <c r="O29" s="62"/>
      <c r="P29" s="1240"/>
      <c r="Q29" s="435" t="s">
        <v>795</v>
      </c>
      <c r="R29" s="581" t="s">
        <v>519</v>
      </c>
      <c r="S29" s="579" t="s">
        <v>116</v>
      </c>
      <c r="T29" s="650" t="s">
        <v>496</v>
      </c>
      <c r="U29" s="939"/>
      <c r="V29" s="1039"/>
    </row>
    <row r="30" spans="1:22" s="18" customFormat="1" ht="15.75" customHeight="1">
      <c r="B30" s="2426"/>
      <c r="C30" s="2427"/>
      <c r="D30" s="2330"/>
      <c r="E30" s="62"/>
      <c r="F30" s="2512"/>
      <c r="G30" s="2513"/>
      <c r="H30" s="2514"/>
      <c r="I30" s="14" t="s">
        <v>1173</v>
      </c>
      <c r="J30" s="37"/>
      <c r="L30" s="404" t="s">
        <v>1421</v>
      </c>
      <c r="M30" s="1891">
        <v>20</v>
      </c>
      <c r="N30" s="1411"/>
      <c r="O30" s="62"/>
      <c r="P30" s="1241"/>
      <c r="Q30" s="440" t="s">
        <v>796</v>
      </c>
      <c r="R30" s="580" t="s">
        <v>518</v>
      </c>
      <c r="S30" s="578" t="s">
        <v>116</v>
      </c>
      <c r="T30" s="649" t="s">
        <v>496</v>
      </c>
      <c r="U30" s="939"/>
      <c r="V30" s="1039"/>
    </row>
    <row r="31" spans="1:22" s="18" customFormat="1" ht="15.75" customHeight="1">
      <c r="A31" s="87"/>
      <c r="B31" s="83" t="s">
        <v>5</v>
      </c>
      <c r="C31" s="1333" t="s">
        <v>6</v>
      </c>
      <c r="D31" s="1259" t="s">
        <v>1291</v>
      </c>
      <c r="E31" s="62"/>
      <c r="F31" s="84" t="s">
        <v>7</v>
      </c>
      <c r="G31" s="2537" t="s">
        <v>1290</v>
      </c>
      <c r="H31" s="2538"/>
      <c r="I31" s="85" t="s">
        <v>1267</v>
      </c>
      <c r="J31" s="144" t="s">
        <v>138</v>
      </c>
      <c r="L31" s="404" t="s">
        <v>1421</v>
      </c>
      <c r="M31" s="1817">
        <v>60</v>
      </c>
      <c r="N31" s="1433"/>
      <c r="O31" s="62"/>
      <c r="P31" s="1240"/>
      <c r="Q31" s="435" t="s">
        <v>797</v>
      </c>
      <c r="R31" s="581" t="s">
        <v>517</v>
      </c>
      <c r="S31" s="579" t="s">
        <v>116</v>
      </c>
      <c r="T31" s="650">
        <f>85440/20</f>
        <v>4272</v>
      </c>
      <c r="U31" s="939"/>
      <c r="V31" s="1039"/>
    </row>
    <row r="32" spans="1:22" s="18" customFormat="1" ht="15.75" customHeight="1">
      <c r="B32" s="133">
        <v>1</v>
      </c>
      <c r="C32" s="1245">
        <v>1</v>
      </c>
      <c r="D32" s="1241"/>
      <c r="E32" s="145"/>
      <c r="F32" s="134"/>
      <c r="G32" s="2539" t="s">
        <v>1279</v>
      </c>
      <c r="H32" s="2540"/>
      <c r="I32" s="137" t="s">
        <v>1268</v>
      </c>
      <c r="J32" s="138"/>
      <c r="L32" s="404" t="s">
        <v>1421</v>
      </c>
      <c r="M32" s="590">
        <v>2</v>
      </c>
      <c r="N32" s="1887"/>
      <c r="O32" s="62"/>
      <c r="P32" s="1241"/>
      <c r="Q32" s="629" t="s">
        <v>862</v>
      </c>
      <c r="R32" s="630" t="s">
        <v>863</v>
      </c>
      <c r="S32" s="631" t="s">
        <v>149</v>
      </c>
      <c r="T32" s="651"/>
      <c r="U32" s="939"/>
      <c r="V32" s="1039"/>
    </row>
    <row r="33" spans="1:22" s="18" customFormat="1" ht="15.75" customHeight="1">
      <c r="B33" s="1623">
        <v>1</v>
      </c>
      <c r="C33" s="1617">
        <v>3</v>
      </c>
      <c r="D33" s="1240"/>
      <c r="E33" s="27"/>
      <c r="F33" s="139"/>
      <c r="G33" s="2541" t="s">
        <v>1280</v>
      </c>
      <c r="H33" s="2366"/>
      <c r="I33" s="258" t="s">
        <v>1269</v>
      </c>
      <c r="J33" s="143"/>
      <c r="L33" s="404" t="s">
        <v>1421</v>
      </c>
      <c r="M33" s="37">
        <v>2</v>
      </c>
      <c r="N33" s="1302"/>
      <c r="O33" s="62"/>
      <c r="P33" s="1240"/>
      <c r="Q33" s="632">
        <v>34108</v>
      </c>
      <c r="R33" s="633" t="s">
        <v>864</v>
      </c>
      <c r="S33" s="288" t="s">
        <v>149</v>
      </c>
      <c r="T33" s="652">
        <v>6498</v>
      </c>
      <c r="U33" s="939"/>
      <c r="V33" s="1039"/>
    </row>
    <row r="34" spans="1:22" s="18" customFormat="1" ht="15.75" customHeight="1">
      <c r="B34" s="133">
        <v>1</v>
      </c>
      <c r="C34" s="1245">
        <v>1</v>
      </c>
      <c r="D34" s="1241"/>
      <c r="E34" s="145"/>
      <c r="F34" s="134"/>
      <c r="G34" s="2539" t="s">
        <v>1281</v>
      </c>
      <c r="H34" s="2540"/>
      <c r="I34" s="137" t="s">
        <v>1270</v>
      </c>
      <c r="J34" s="138"/>
      <c r="L34" s="55">
        <v>12</v>
      </c>
      <c r="M34" s="37">
        <v>36</v>
      </c>
      <c r="N34" s="1434"/>
      <c r="O34" s="62"/>
      <c r="P34" s="1241"/>
      <c r="Q34" s="634" t="s">
        <v>162</v>
      </c>
      <c r="R34" s="635" t="s">
        <v>163</v>
      </c>
      <c r="S34" s="636" t="s">
        <v>15</v>
      </c>
      <c r="T34" s="653">
        <v>348</v>
      </c>
      <c r="U34" s="939"/>
      <c r="V34" s="1039"/>
    </row>
    <row r="35" spans="1:22" s="18" customFormat="1" ht="15.75" customHeight="1">
      <c r="A35" s="87"/>
      <c r="B35" s="48">
        <v>1</v>
      </c>
      <c r="C35" s="1296">
        <v>1</v>
      </c>
      <c r="D35" s="1240"/>
      <c r="E35" s="27"/>
      <c r="F35" s="139"/>
      <c r="G35" s="2541" t="s">
        <v>1282</v>
      </c>
      <c r="H35" s="2366"/>
      <c r="I35" s="258" t="s">
        <v>1271</v>
      </c>
      <c r="J35" s="143"/>
      <c r="K35" s="87"/>
      <c r="L35" s="33">
        <v>12</v>
      </c>
      <c r="M35" s="1890">
        <v>50</v>
      </c>
      <c r="N35" s="1432"/>
      <c r="O35" s="62"/>
      <c r="P35" s="1240"/>
      <c r="Q35" s="435" t="s">
        <v>166</v>
      </c>
      <c r="R35" s="581" t="s">
        <v>167</v>
      </c>
      <c r="S35" s="579" t="s">
        <v>15</v>
      </c>
      <c r="T35" s="650">
        <v>285</v>
      </c>
      <c r="U35" s="939"/>
      <c r="V35" s="1039"/>
    </row>
    <row r="36" spans="1:22" s="18" customFormat="1" ht="15.75" customHeight="1">
      <c r="B36" s="133">
        <v>1</v>
      </c>
      <c r="C36" s="1245">
        <v>1</v>
      </c>
      <c r="D36" s="1241"/>
      <c r="E36" s="145"/>
      <c r="F36" s="134"/>
      <c r="G36" s="2539" t="s">
        <v>1283</v>
      </c>
      <c r="H36" s="2540"/>
      <c r="I36" s="137" t="s">
        <v>1272</v>
      </c>
      <c r="J36" s="138"/>
      <c r="L36" s="55">
        <v>12</v>
      </c>
      <c r="M36" s="37">
        <v>36</v>
      </c>
      <c r="N36" s="1369"/>
      <c r="O36" s="62"/>
      <c r="P36" s="1241"/>
      <c r="Q36" s="440" t="s">
        <v>164</v>
      </c>
      <c r="R36" s="580" t="s">
        <v>165</v>
      </c>
      <c r="S36" s="578" t="s">
        <v>15</v>
      </c>
      <c r="T36" s="649">
        <v>499</v>
      </c>
      <c r="U36" s="939"/>
      <c r="V36" s="1039"/>
    </row>
    <row r="37" spans="1:22" s="18" customFormat="1" ht="15.75" customHeight="1">
      <c r="B37" s="48">
        <v>1</v>
      </c>
      <c r="C37" s="1296">
        <v>1</v>
      </c>
      <c r="D37" s="1240"/>
      <c r="E37" s="27"/>
      <c r="F37" s="139"/>
      <c r="G37" s="2541" t="s">
        <v>1284</v>
      </c>
      <c r="H37" s="2366"/>
      <c r="I37" s="258" t="s">
        <v>1273</v>
      </c>
      <c r="J37" s="143"/>
      <c r="L37" s="210">
        <v>1</v>
      </c>
      <c r="M37" s="1817">
        <v>2</v>
      </c>
      <c r="N37" s="1432"/>
      <c r="O37" s="62"/>
      <c r="P37" s="1240"/>
      <c r="Q37" s="435">
        <v>12464</v>
      </c>
      <c r="R37" s="581" t="s">
        <v>553</v>
      </c>
      <c r="S37" s="579" t="s">
        <v>15</v>
      </c>
      <c r="T37" s="650">
        <v>4565</v>
      </c>
      <c r="U37" s="939"/>
      <c r="V37" s="1039"/>
    </row>
    <row r="38" spans="1:22" s="18" customFormat="1" ht="15.75">
      <c r="B38" s="1679">
        <v>1</v>
      </c>
      <c r="C38" s="1680">
        <v>3</v>
      </c>
      <c r="D38" s="1241"/>
      <c r="E38" s="145"/>
      <c r="F38" s="134"/>
      <c r="G38" s="2539" t="s">
        <v>1285</v>
      </c>
      <c r="H38" s="2540"/>
      <c r="I38" s="137" t="s">
        <v>1274</v>
      </c>
      <c r="J38" s="138"/>
      <c r="L38" s="404" t="s">
        <v>1421</v>
      </c>
      <c r="M38" s="1891">
        <v>1</v>
      </c>
      <c r="N38" s="1411"/>
      <c r="O38" s="62"/>
      <c r="P38" s="1241"/>
      <c r="Q38" s="440">
        <v>40974</v>
      </c>
      <c r="R38" s="580" t="s">
        <v>562</v>
      </c>
      <c r="S38" s="578" t="s">
        <v>168</v>
      </c>
      <c r="T38" s="649">
        <v>41150</v>
      </c>
      <c r="U38" s="939"/>
    </row>
    <row r="39" spans="1:22" s="18" customFormat="1" ht="15.75">
      <c r="B39" s="1623">
        <v>1</v>
      </c>
      <c r="C39" s="1617">
        <v>3</v>
      </c>
      <c r="D39" s="1294"/>
      <c r="E39" s="145"/>
      <c r="F39" s="139"/>
      <c r="G39" s="2541" t="s">
        <v>1286</v>
      </c>
      <c r="H39" s="2366"/>
      <c r="I39" s="258" t="s">
        <v>1275</v>
      </c>
      <c r="J39" s="143"/>
      <c r="L39" s="55">
        <v>1</v>
      </c>
      <c r="M39" s="37">
        <v>2</v>
      </c>
      <c r="N39" s="1432"/>
      <c r="O39" s="62"/>
      <c r="P39" s="1240"/>
      <c r="Q39" s="435">
        <v>76972</v>
      </c>
      <c r="R39" s="581" t="s">
        <v>492</v>
      </c>
      <c r="S39" s="579" t="s">
        <v>15</v>
      </c>
      <c r="T39" s="650">
        <v>50541</v>
      </c>
      <c r="U39" s="939"/>
    </row>
    <row r="40" spans="1:22" s="18" customFormat="1" ht="15.75">
      <c r="B40" s="33">
        <v>1</v>
      </c>
      <c r="C40" s="1233">
        <v>1</v>
      </c>
      <c r="D40" s="1241"/>
      <c r="E40" s="27"/>
      <c r="F40" s="134"/>
      <c r="G40" s="2539" t="s">
        <v>1287</v>
      </c>
      <c r="H40" s="2540"/>
      <c r="I40" s="137" t="s">
        <v>1276</v>
      </c>
      <c r="J40" s="138"/>
      <c r="L40" s="404" t="s">
        <v>1421</v>
      </c>
      <c r="M40" s="1891" t="s">
        <v>9</v>
      </c>
      <c r="N40" s="1411"/>
      <c r="O40" s="62"/>
      <c r="P40" s="1241"/>
      <c r="Q40" s="440">
        <v>11820</v>
      </c>
      <c r="R40" s="580" t="s">
        <v>169</v>
      </c>
      <c r="S40" s="578" t="s">
        <v>170</v>
      </c>
      <c r="T40" s="649">
        <v>4001</v>
      </c>
      <c r="U40" s="939"/>
    </row>
    <row r="41" spans="1:22" s="18" customFormat="1" ht="15.75">
      <c r="B41" s="48">
        <v>1</v>
      </c>
      <c r="C41" s="1296">
        <v>1</v>
      </c>
      <c r="D41" s="1240"/>
      <c r="E41" s="27"/>
      <c r="F41" s="139"/>
      <c r="G41" s="2541" t="s">
        <v>1288</v>
      </c>
      <c r="H41" s="2366"/>
      <c r="I41" s="258" t="s">
        <v>1277</v>
      </c>
      <c r="J41" s="143"/>
      <c r="L41" s="1924" t="s">
        <v>923</v>
      </c>
      <c r="M41" s="1925"/>
      <c r="N41" s="1433"/>
      <c r="O41" s="62"/>
      <c r="P41" s="1240"/>
      <c r="Q41" s="435">
        <v>18790</v>
      </c>
      <c r="R41" s="581" t="s">
        <v>792</v>
      </c>
      <c r="S41" s="579" t="s">
        <v>170</v>
      </c>
      <c r="T41" s="650">
        <v>3750</v>
      </c>
      <c r="U41" s="945"/>
    </row>
    <row r="42" spans="1:22" s="18" customFormat="1" ht="15.75" customHeight="1">
      <c r="B42" s="431">
        <v>1</v>
      </c>
      <c r="C42" s="1344">
        <v>3</v>
      </c>
      <c r="D42" s="1241"/>
      <c r="E42" s="145"/>
      <c r="F42" s="134"/>
      <c r="G42" s="2539" t="s">
        <v>1289</v>
      </c>
      <c r="H42" s="2540"/>
      <c r="I42" s="137" t="s">
        <v>1278</v>
      </c>
      <c r="J42" s="138"/>
      <c r="L42" s="1685">
        <v>1</v>
      </c>
      <c r="M42" s="1891">
        <v>2</v>
      </c>
      <c r="N42" s="1369"/>
      <c r="O42" s="62"/>
      <c r="P42" s="1241"/>
      <c r="Q42" s="440">
        <v>92433</v>
      </c>
      <c r="R42" s="580" t="s">
        <v>509</v>
      </c>
      <c r="S42" s="578" t="s">
        <v>511</v>
      </c>
      <c r="T42" s="649">
        <v>7712</v>
      </c>
      <c r="U42" s="939"/>
    </row>
    <row r="43" spans="1:22" s="18" customFormat="1" ht="15.75" customHeight="1">
      <c r="B43" s="31"/>
      <c r="C43" s="1231"/>
      <c r="D43" s="1240"/>
      <c r="E43" s="27"/>
      <c r="F43" s="1033"/>
      <c r="G43" s="2542"/>
      <c r="H43" s="2543"/>
      <c r="I43" s="454"/>
      <c r="J43" s="1032"/>
      <c r="L43" s="55">
        <v>2</v>
      </c>
      <c r="M43" s="37">
        <v>4</v>
      </c>
      <c r="N43" s="1432"/>
      <c r="O43" s="62"/>
      <c r="P43" s="1240"/>
      <c r="Q43" s="435">
        <v>92430</v>
      </c>
      <c r="R43" s="581" t="s">
        <v>508</v>
      </c>
      <c r="S43" s="579" t="s">
        <v>911</v>
      </c>
      <c r="T43" s="650">
        <v>3295</v>
      </c>
      <c r="U43" s="939"/>
    </row>
    <row r="44" spans="1:22" s="18" customFormat="1" ht="15.75" customHeight="1" thickBot="1">
      <c r="B44" s="199"/>
      <c r="C44" s="1308"/>
      <c r="D44" s="1262"/>
      <c r="E44" s="100"/>
      <c r="F44" s="1035"/>
      <c r="G44" s="2544"/>
      <c r="H44" s="2545"/>
      <c r="I44" s="1037"/>
      <c r="J44" s="1038"/>
      <c r="L44" s="2381" t="s">
        <v>923</v>
      </c>
      <c r="M44" s="2554"/>
      <c r="N44" s="1369"/>
      <c r="O44" s="62"/>
      <c r="P44" s="1241"/>
      <c r="Q44" s="440">
        <v>12423</v>
      </c>
      <c r="R44" s="580" t="s">
        <v>510</v>
      </c>
      <c r="S44" s="578" t="s">
        <v>512</v>
      </c>
      <c r="T44" s="649">
        <v>3960</v>
      </c>
      <c r="U44" s="939"/>
    </row>
    <row r="45" spans="1:22" s="18" customFormat="1" ht="15.75" customHeight="1" thickBot="1">
      <c r="L45" s="404" t="s">
        <v>1421</v>
      </c>
      <c r="M45" s="1817">
        <v>2</v>
      </c>
      <c r="N45" s="1433"/>
      <c r="O45" s="62"/>
      <c r="P45" s="1240"/>
      <c r="Q45" s="435">
        <v>11230</v>
      </c>
      <c r="R45" s="581" t="s">
        <v>560</v>
      </c>
      <c r="S45" s="579" t="s">
        <v>15</v>
      </c>
      <c r="T45" s="650">
        <v>7229</v>
      </c>
      <c r="U45" s="939"/>
    </row>
    <row r="46" spans="1:22" s="18" customFormat="1" ht="15.75" customHeight="1">
      <c r="B46" s="2332" t="s">
        <v>640</v>
      </c>
      <c r="C46" s="2425"/>
      <c r="D46" s="2329" t="s">
        <v>1174</v>
      </c>
      <c r="E46" s="61"/>
      <c r="F46" s="2531" t="s">
        <v>980</v>
      </c>
      <c r="G46" s="2532"/>
      <c r="H46" s="2533"/>
      <c r="I46" s="46" t="s">
        <v>981</v>
      </c>
      <c r="J46" s="487" t="s">
        <v>4</v>
      </c>
      <c r="L46" s="404" t="s">
        <v>1421</v>
      </c>
      <c r="M46" s="37">
        <v>60</v>
      </c>
      <c r="N46" s="1369"/>
      <c r="O46" s="62"/>
      <c r="P46" s="1241"/>
      <c r="Q46" s="440">
        <v>82987</v>
      </c>
      <c r="R46" s="580" t="s">
        <v>1037</v>
      </c>
      <c r="S46" s="578" t="s">
        <v>171</v>
      </c>
      <c r="T46" s="649">
        <v>10689</v>
      </c>
      <c r="U46" s="939"/>
    </row>
    <row r="47" spans="1:22" s="18" customFormat="1" ht="15.75" customHeight="1">
      <c r="B47" s="2426"/>
      <c r="C47" s="2427"/>
      <c r="D47" s="2330"/>
      <c r="E47" s="62"/>
      <c r="F47" s="2534"/>
      <c r="G47" s="2535"/>
      <c r="H47" s="2536"/>
      <c r="I47" s="14" t="s">
        <v>982</v>
      </c>
      <c r="J47" s="37"/>
      <c r="L47" s="404" t="s">
        <v>1421</v>
      </c>
      <c r="M47" s="1890">
        <v>144</v>
      </c>
      <c r="N47" s="1433"/>
      <c r="O47" s="62"/>
      <c r="P47" s="1240"/>
      <c r="Q47" s="435">
        <v>79044</v>
      </c>
      <c r="R47" s="582" t="s">
        <v>819</v>
      </c>
      <c r="S47" s="579" t="s">
        <v>276</v>
      </c>
      <c r="T47" s="650">
        <v>786</v>
      </c>
      <c r="U47" s="939"/>
    </row>
    <row r="48" spans="1:22" s="18" customFormat="1" ht="15.75" customHeight="1">
      <c r="B48" s="83" t="s">
        <v>5</v>
      </c>
      <c r="C48" s="1333" t="s">
        <v>6</v>
      </c>
      <c r="D48" s="1259"/>
      <c r="E48" s="62"/>
      <c r="F48" s="84" t="s">
        <v>7</v>
      </c>
      <c r="G48" s="120" t="s">
        <v>273</v>
      </c>
      <c r="H48" s="120" t="s">
        <v>1</v>
      </c>
      <c r="I48" s="85" t="s">
        <v>0</v>
      </c>
      <c r="J48" s="144" t="s">
        <v>138</v>
      </c>
      <c r="L48" s="404" t="s">
        <v>1421</v>
      </c>
      <c r="M48" s="37">
        <v>1</v>
      </c>
      <c r="N48" s="1411"/>
      <c r="O48" s="62"/>
      <c r="P48" s="1241"/>
      <c r="Q48" s="440">
        <v>85376</v>
      </c>
      <c r="R48" s="580" t="s">
        <v>765</v>
      </c>
      <c r="S48" s="578" t="s">
        <v>908</v>
      </c>
      <c r="T48" s="649">
        <v>3355</v>
      </c>
      <c r="U48" s="939"/>
    </row>
    <row r="49" spans="2:21" s="18" customFormat="1" ht="15.75" customHeight="1">
      <c r="B49" s="133"/>
      <c r="C49" s="1245"/>
      <c r="D49" s="1241"/>
      <c r="E49" s="145"/>
      <c r="F49" s="134"/>
      <c r="G49" s="135" t="s">
        <v>983</v>
      </c>
      <c r="H49" s="136" t="s">
        <v>984</v>
      </c>
      <c r="I49" s="137" t="s">
        <v>985</v>
      </c>
      <c r="J49" s="138"/>
      <c r="L49" s="33">
        <v>2</v>
      </c>
      <c r="M49" s="1890">
        <v>8</v>
      </c>
      <c r="N49" s="1432"/>
      <c r="O49" s="62"/>
      <c r="P49" s="1240"/>
      <c r="Q49" s="435">
        <v>73484</v>
      </c>
      <c r="R49" s="581" t="s">
        <v>173</v>
      </c>
      <c r="S49" s="579" t="s">
        <v>174</v>
      </c>
      <c r="T49" s="650">
        <v>727</v>
      </c>
      <c r="U49" s="939"/>
    </row>
    <row r="50" spans="2:21" s="18" customFormat="1" ht="15.75" customHeight="1">
      <c r="B50" s="48"/>
      <c r="C50" s="1296"/>
      <c r="D50" s="1240"/>
      <c r="E50" s="27"/>
      <c r="F50" s="139"/>
      <c r="G50" s="140"/>
      <c r="H50" s="141"/>
      <c r="I50" s="142" t="s">
        <v>986</v>
      </c>
      <c r="J50" s="143"/>
      <c r="L50" s="404" t="s">
        <v>1421</v>
      </c>
      <c r="M50" s="839">
        <v>1</v>
      </c>
      <c r="N50" s="1411"/>
      <c r="O50" s="62"/>
      <c r="P50" s="1241"/>
      <c r="Q50" s="440">
        <v>77264</v>
      </c>
      <c r="R50" s="580" t="s">
        <v>667</v>
      </c>
      <c r="S50" s="578" t="s">
        <v>15</v>
      </c>
      <c r="T50" s="649">
        <v>5070</v>
      </c>
      <c r="U50" s="939"/>
    </row>
    <row r="51" spans="2:21" s="18" customFormat="1" ht="15.75" customHeight="1">
      <c r="B51" s="133"/>
      <c r="C51" s="1245"/>
      <c r="D51" s="1241"/>
      <c r="E51" s="145"/>
      <c r="F51" s="134"/>
      <c r="G51" s="135"/>
      <c r="H51" s="136"/>
      <c r="I51" s="137" t="s">
        <v>987</v>
      </c>
      <c r="J51" s="138"/>
      <c r="L51" s="404" t="s">
        <v>1421</v>
      </c>
      <c r="M51" s="1890">
        <v>15</v>
      </c>
      <c r="N51" s="1433"/>
      <c r="O51" s="62"/>
      <c r="P51" s="1240"/>
      <c r="Q51" s="435">
        <v>34310</v>
      </c>
      <c r="R51" s="584" t="s">
        <v>823</v>
      </c>
      <c r="S51" s="579" t="s">
        <v>15</v>
      </c>
      <c r="T51" s="650" t="s">
        <v>496</v>
      </c>
      <c r="U51" s="939"/>
    </row>
    <row r="52" spans="2:21" s="18" customFormat="1" ht="15.75" customHeight="1">
      <c r="B52" s="48"/>
      <c r="C52" s="1296"/>
      <c r="D52" s="1240"/>
      <c r="E52" s="27"/>
      <c r="F52" s="139"/>
      <c r="G52" s="140"/>
      <c r="H52" s="141"/>
      <c r="I52" s="142" t="s">
        <v>988</v>
      </c>
      <c r="J52" s="143"/>
      <c r="L52" s="55">
        <v>2</v>
      </c>
      <c r="M52" s="37">
        <v>8</v>
      </c>
      <c r="N52" s="1435"/>
      <c r="O52" s="62"/>
      <c r="P52" s="1241"/>
      <c r="Q52" s="440">
        <v>17313</v>
      </c>
      <c r="R52" s="580" t="s">
        <v>175</v>
      </c>
      <c r="S52" s="578" t="s">
        <v>15</v>
      </c>
      <c r="T52" s="649">
        <v>1409</v>
      </c>
      <c r="U52" s="939"/>
    </row>
    <row r="53" spans="2:21" s="18" customFormat="1" ht="15.75" customHeight="1">
      <c r="B53" s="133"/>
      <c r="C53" s="1245"/>
      <c r="D53" s="1241"/>
      <c r="E53" s="145"/>
      <c r="F53" s="134"/>
      <c r="G53" s="135"/>
      <c r="H53" s="136"/>
      <c r="I53" s="137" t="s">
        <v>989</v>
      </c>
      <c r="J53" s="138"/>
      <c r="L53" s="251" t="s">
        <v>182</v>
      </c>
      <c r="M53" s="1817">
        <v>20</v>
      </c>
      <c r="N53" s="1433"/>
      <c r="O53" s="62"/>
      <c r="P53" s="1240"/>
      <c r="Q53" s="435">
        <v>83119</v>
      </c>
      <c r="R53" s="584" t="s">
        <v>830</v>
      </c>
      <c r="S53" s="579" t="s">
        <v>15</v>
      </c>
      <c r="T53" s="654" t="s">
        <v>496</v>
      </c>
      <c r="U53" s="939"/>
    </row>
    <row r="54" spans="2:21" s="18" customFormat="1" ht="15.75" customHeight="1" thickBot="1">
      <c r="B54" s="48"/>
      <c r="C54" s="1296"/>
      <c r="D54" s="1240"/>
      <c r="E54" s="27"/>
      <c r="F54" s="139"/>
      <c r="G54" s="140"/>
      <c r="H54" s="141"/>
      <c r="I54" s="142" t="s">
        <v>990</v>
      </c>
      <c r="J54" s="143"/>
      <c r="L54" s="1096" t="s">
        <v>1421</v>
      </c>
      <c r="M54" s="1892">
        <v>20</v>
      </c>
      <c r="N54" s="1888"/>
      <c r="O54" s="279"/>
      <c r="P54" s="1517"/>
      <c r="Q54" s="637">
        <v>83977</v>
      </c>
      <c r="R54" s="1893" t="s">
        <v>831</v>
      </c>
      <c r="S54" s="638" t="s">
        <v>15</v>
      </c>
      <c r="T54" s="655">
        <v>660</v>
      </c>
      <c r="U54" s="939"/>
    </row>
    <row r="55" spans="2:21" s="18" customFormat="1" ht="15.75" customHeight="1" thickBot="1">
      <c r="B55" s="133"/>
      <c r="C55" s="1245"/>
      <c r="D55" s="1241"/>
      <c r="E55" s="145"/>
      <c r="F55" s="134"/>
      <c r="G55" s="135"/>
      <c r="H55" s="136"/>
      <c r="I55" s="137" t="s">
        <v>991</v>
      </c>
      <c r="J55" s="138"/>
      <c r="L55" s="762"/>
      <c r="M55" s="168"/>
      <c r="N55" s="168"/>
      <c r="O55" s="62"/>
      <c r="P55" s="2520" t="s">
        <v>177</v>
      </c>
      <c r="Q55" s="2521"/>
      <c r="R55" s="2522"/>
      <c r="S55" s="40"/>
      <c r="T55" s="763"/>
      <c r="U55" s="939"/>
    </row>
    <row r="56" spans="2:21" s="18" customFormat="1" ht="15.75" customHeight="1" thickBot="1">
      <c r="B56" s="48"/>
      <c r="C56" s="1296"/>
      <c r="D56" s="1240"/>
      <c r="E56" s="27"/>
      <c r="F56" s="139"/>
      <c r="G56" s="140"/>
      <c r="H56" s="141"/>
      <c r="I56" s="142" t="s">
        <v>992</v>
      </c>
      <c r="J56" s="143"/>
      <c r="L56" s="2523" t="s">
        <v>997</v>
      </c>
      <c r="M56" s="2524"/>
      <c r="N56" s="168"/>
      <c r="O56" s="62"/>
      <c r="P56" s="331"/>
      <c r="Q56" s="491"/>
      <c r="R56" s="40"/>
      <c r="S56" s="40"/>
      <c r="T56" s="763"/>
      <c r="U56" s="939"/>
    </row>
    <row r="57" spans="2:21" s="18" customFormat="1" ht="15.75" customHeight="1">
      <c r="B57" s="133"/>
      <c r="C57" s="1245"/>
      <c r="D57" s="1241"/>
      <c r="E57" s="145"/>
      <c r="F57" s="134"/>
      <c r="G57" s="135"/>
      <c r="H57" s="136"/>
      <c r="I57" s="137" t="s">
        <v>993</v>
      </c>
      <c r="J57" s="138"/>
      <c r="L57" s="764"/>
      <c r="M57" s="765"/>
      <c r="N57" s="1356"/>
      <c r="O57" s="1027"/>
      <c r="P57" s="941"/>
      <c r="Q57" s="779">
        <v>44424</v>
      </c>
      <c r="R57" s="774" t="s">
        <v>859</v>
      </c>
      <c r="S57" s="775" t="s">
        <v>15</v>
      </c>
      <c r="T57" s="781">
        <v>7870</v>
      </c>
      <c r="U57" s="939"/>
    </row>
    <row r="58" spans="2:21" s="18" customFormat="1" ht="15.75" customHeight="1">
      <c r="B58" s="48"/>
      <c r="C58" s="1296"/>
      <c r="D58" s="1240"/>
      <c r="E58" s="27"/>
      <c r="F58" s="139"/>
      <c r="G58" s="140"/>
      <c r="H58" s="141"/>
      <c r="I58" s="142" t="s">
        <v>994</v>
      </c>
      <c r="J58" s="143"/>
      <c r="L58" s="757"/>
      <c r="M58" s="1346"/>
      <c r="N58" s="1431"/>
      <c r="O58" s="67"/>
      <c r="P58" s="942"/>
      <c r="Q58" s="141">
        <v>81850</v>
      </c>
      <c r="R58" s="760" t="s">
        <v>858</v>
      </c>
      <c r="S58" s="260" t="s">
        <v>15</v>
      </c>
      <c r="T58" s="782">
        <v>4815</v>
      </c>
      <c r="U58" s="939"/>
    </row>
    <row r="59" spans="2:21" s="18" customFormat="1" ht="15.75" customHeight="1">
      <c r="B59" s="133"/>
      <c r="C59" s="1245"/>
      <c r="D59" s="1241"/>
      <c r="E59" s="145"/>
      <c r="F59" s="134"/>
      <c r="G59" s="135"/>
      <c r="H59" s="136"/>
      <c r="I59" s="137"/>
      <c r="J59" s="138"/>
      <c r="L59" s="766"/>
      <c r="M59" s="1347"/>
      <c r="N59" s="1350"/>
      <c r="O59" s="67"/>
      <c r="P59" s="943"/>
      <c r="Q59" s="692">
        <v>24042</v>
      </c>
      <c r="R59" s="772" t="s">
        <v>543</v>
      </c>
      <c r="S59" s="773" t="s">
        <v>15</v>
      </c>
      <c r="T59" s="783">
        <v>10496</v>
      </c>
      <c r="U59" s="939"/>
    </row>
    <row r="60" spans="2:21" s="18" customFormat="1" ht="15.75" customHeight="1">
      <c r="B60" s="48"/>
      <c r="C60" s="1296"/>
      <c r="D60" s="1240"/>
      <c r="E60" s="27"/>
      <c r="F60" s="139"/>
      <c r="G60" s="140"/>
      <c r="H60" s="141"/>
      <c r="I60" s="142"/>
      <c r="J60" s="143"/>
      <c r="L60" s="757"/>
      <c r="M60" s="1346"/>
      <c r="N60" s="1351"/>
      <c r="O60" s="67"/>
      <c r="P60" s="942"/>
      <c r="Q60" s="141">
        <v>16811</v>
      </c>
      <c r="R60" s="760" t="s">
        <v>544</v>
      </c>
      <c r="S60" s="260" t="s">
        <v>15</v>
      </c>
      <c r="T60" s="782" t="s">
        <v>496</v>
      </c>
      <c r="U60" s="939"/>
    </row>
    <row r="61" spans="2:21" s="18" customFormat="1" ht="15.75" customHeight="1">
      <c r="B61" s="133"/>
      <c r="C61" s="1245"/>
      <c r="D61" s="1241"/>
      <c r="E61" s="145"/>
      <c r="F61" s="134"/>
      <c r="G61" s="135"/>
      <c r="H61" s="136"/>
      <c r="I61" s="137"/>
      <c r="J61" s="138"/>
      <c r="L61" s="767"/>
      <c r="M61" s="1347"/>
      <c r="N61" s="1350"/>
      <c r="O61" s="67"/>
      <c r="P61" s="943"/>
      <c r="Q61" s="692">
        <v>78590</v>
      </c>
      <c r="R61" s="772" t="s">
        <v>649</v>
      </c>
      <c r="S61" s="773" t="s">
        <v>15</v>
      </c>
      <c r="T61" s="783">
        <v>16381</v>
      </c>
      <c r="U61" s="939"/>
    </row>
    <row r="62" spans="2:21" s="18" customFormat="1" ht="15.75" customHeight="1">
      <c r="B62" s="48"/>
      <c r="C62" s="1296"/>
      <c r="D62" s="1240"/>
      <c r="E62" s="27"/>
      <c r="F62" s="139"/>
      <c r="G62" s="140"/>
      <c r="H62" s="141"/>
      <c r="I62" s="142"/>
      <c r="J62" s="143"/>
      <c r="L62" s="758"/>
      <c r="M62" s="1346"/>
      <c r="N62" s="1351"/>
      <c r="O62" s="67"/>
      <c r="P62" s="940"/>
      <c r="Q62" s="141">
        <v>81321</v>
      </c>
      <c r="R62" s="760" t="s">
        <v>666</v>
      </c>
      <c r="S62" s="260" t="s">
        <v>15</v>
      </c>
      <c r="T62" s="782" t="s">
        <v>496</v>
      </c>
      <c r="U62" s="939"/>
    </row>
    <row r="63" spans="2:21" s="18" customFormat="1" ht="15.75" customHeight="1">
      <c r="B63" s="133"/>
      <c r="C63" s="1245"/>
      <c r="D63" s="1241"/>
      <c r="E63" s="145"/>
      <c r="F63" s="134"/>
      <c r="G63" s="135"/>
      <c r="H63" s="136"/>
      <c r="I63" s="137"/>
      <c r="J63" s="138"/>
      <c r="L63" s="767"/>
      <c r="M63" s="1347"/>
      <c r="N63" s="1350"/>
      <c r="O63" s="67"/>
      <c r="P63" s="943"/>
      <c r="Q63" s="692">
        <v>29022</v>
      </c>
      <c r="R63" s="772" t="s">
        <v>936</v>
      </c>
      <c r="S63" s="773" t="s">
        <v>665</v>
      </c>
      <c r="T63" s="784">
        <v>9163</v>
      </c>
      <c r="U63" s="939"/>
    </row>
    <row r="64" spans="2:21" s="18" customFormat="1" ht="15.75" customHeight="1">
      <c r="B64" s="48"/>
      <c r="C64" s="1296"/>
      <c r="D64" s="1240"/>
      <c r="E64" s="27"/>
      <c r="F64" s="139"/>
      <c r="G64" s="140"/>
      <c r="H64" s="141"/>
      <c r="I64" s="142"/>
      <c r="J64" s="143"/>
      <c r="L64" s="758"/>
      <c r="M64" s="1346"/>
      <c r="N64" s="1351"/>
      <c r="O64" s="67"/>
      <c r="P64" s="759"/>
      <c r="Q64" s="691">
        <v>29994</v>
      </c>
      <c r="R64" s="761" t="s">
        <v>937</v>
      </c>
      <c r="S64" s="59" t="s">
        <v>664</v>
      </c>
      <c r="T64" s="785">
        <v>7681</v>
      </c>
      <c r="U64" s="939"/>
    </row>
    <row r="65" spans="1:22" s="18" customFormat="1" ht="15.75" customHeight="1">
      <c r="B65" s="133"/>
      <c r="C65" s="1245"/>
      <c r="D65" s="1241"/>
      <c r="E65" s="145"/>
      <c r="F65" s="134"/>
      <c r="G65" s="135"/>
      <c r="H65" s="136"/>
      <c r="I65" s="137"/>
      <c r="J65" s="138"/>
      <c r="L65" s="768"/>
      <c r="M65" s="1348"/>
      <c r="N65" s="1352"/>
      <c r="O65" s="67"/>
      <c r="P65" s="769"/>
      <c r="Q65" s="780">
        <v>29996</v>
      </c>
      <c r="R65" s="770" t="s">
        <v>938</v>
      </c>
      <c r="S65" s="771" t="s">
        <v>664</v>
      </c>
      <c r="T65" s="784">
        <v>7681</v>
      </c>
      <c r="U65" s="939"/>
    </row>
    <row r="66" spans="1:22" s="18" customFormat="1" ht="15.75" customHeight="1">
      <c r="B66" s="48"/>
      <c r="C66" s="1296"/>
      <c r="D66" s="1240"/>
      <c r="E66" s="27"/>
      <c r="F66" s="139"/>
      <c r="G66" s="140"/>
      <c r="H66" s="141"/>
      <c r="I66" s="142"/>
      <c r="J66" s="143"/>
      <c r="L66" s="758"/>
      <c r="M66" s="1346"/>
      <c r="N66" s="1351"/>
      <c r="O66" s="67"/>
      <c r="P66" s="759"/>
      <c r="Q66" s="691">
        <v>29995</v>
      </c>
      <c r="R66" s="761" t="s">
        <v>939</v>
      </c>
      <c r="S66" s="59" t="s">
        <v>664</v>
      </c>
      <c r="T66" s="785">
        <v>7681</v>
      </c>
      <c r="U66" s="939"/>
    </row>
    <row r="67" spans="1:22" s="18" customFormat="1" ht="15.75" customHeight="1">
      <c r="B67" s="133"/>
      <c r="C67" s="1245"/>
      <c r="D67" s="1241"/>
      <c r="E67" s="145"/>
      <c r="F67" s="134"/>
      <c r="G67" s="135"/>
      <c r="H67" s="136"/>
      <c r="I67" s="137" t="s">
        <v>996</v>
      </c>
      <c r="J67" s="138"/>
      <c r="L67" s="768"/>
      <c r="M67" s="1348"/>
      <c r="N67" s="1352"/>
      <c r="O67" s="67"/>
      <c r="P67" s="769"/>
      <c r="Q67" s="780">
        <v>37841</v>
      </c>
      <c r="R67" s="772" t="s">
        <v>940</v>
      </c>
      <c r="S67" s="771" t="s">
        <v>15</v>
      </c>
      <c r="T67" s="784">
        <v>1716</v>
      </c>
      <c r="U67" s="939"/>
    </row>
    <row r="68" spans="1:22" s="18" customFormat="1" ht="15.75" customHeight="1">
      <c r="B68" s="48"/>
      <c r="C68" s="1296"/>
      <c r="D68" s="1240"/>
      <c r="E68" s="27"/>
      <c r="F68" s="139"/>
      <c r="G68" s="140"/>
      <c r="H68" s="141"/>
      <c r="I68" s="142" t="s">
        <v>996</v>
      </c>
      <c r="J68" s="143"/>
      <c r="L68" s="758"/>
      <c r="M68" s="1346"/>
      <c r="N68" s="1351"/>
      <c r="O68" s="67"/>
      <c r="P68" s="759"/>
      <c r="Q68" s="691">
        <v>86068</v>
      </c>
      <c r="R68" s="761" t="s">
        <v>941</v>
      </c>
      <c r="S68" s="59" t="s">
        <v>15</v>
      </c>
      <c r="T68" s="785">
        <v>1473</v>
      </c>
      <c r="U68" s="939"/>
    </row>
    <row r="69" spans="1:22" s="18" customFormat="1" ht="15.75" customHeight="1" thickBot="1">
      <c r="B69" s="133"/>
      <c r="C69" s="1245"/>
      <c r="D69" s="1241"/>
      <c r="E69" s="145"/>
      <c r="F69" s="134"/>
      <c r="G69" s="135"/>
      <c r="H69" s="136"/>
      <c r="I69" s="137" t="s">
        <v>996</v>
      </c>
      <c r="J69" s="138"/>
      <c r="L69" s="776"/>
      <c r="M69" s="1349"/>
      <c r="N69" s="1353"/>
      <c r="O69" s="279"/>
      <c r="P69" s="777"/>
      <c r="Q69" s="946">
        <v>82993</v>
      </c>
      <c r="R69" s="949" t="s">
        <v>942</v>
      </c>
      <c r="S69" s="778" t="s">
        <v>15</v>
      </c>
      <c r="T69" s="786">
        <v>3365</v>
      </c>
      <c r="U69" s="939"/>
    </row>
    <row r="70" spans="1:22" s="18" customFormat="1" ht="15.75" customHeight="1" thickBot="1">
      <c r="B70" s="48"/>
      <c r="C70" s="1296"/>
      <c r="D70" s="1240"/>
      <c r="E70" s="27"/>
      <c r="F70" s="139"/>
      <c r="G70" s="140"/>
      <c r="H70" s="141"/>
      <c r="I70" s="142" t="s">
        <v>996</v>
      </c>
      <c r="J70" s="143"/>
      <c r="U70" s="939"/>
    </row>
    <row r="71" spans="1:22" s="18" customFormat="1" ht="15.75" customHeight="1" thickBot="1">
      <c r="B71" s="133"/>
      <c r="C71" s="1245"/>
      <c r="D71" s="1241"/>
      <c r="E71" s="145"/>
      <c r="F71" s="134"/>
      <c r="G71" s="135"/>
      <c r="H71" s="136"/>
      <c r="I71" s="137" t="s">
        <v>996</v>
      </c>
      <c r="J71" s="138"/>
      <c r="P71" s="575" t="s">
        <v>7</v>
      </c>
      <c r="Q71" s="576" t="s">
        <v>273</v>
      </c>
      <c r="R71" s="98" t="s">
        <v>0</v>
      </c>
      <c r="S71" s="577" t="s">
        <v>1</v>
      </c>
      <c r="T71" s="648" t="s">
        <v>138</v>
      </c>
      <c r="U71" s="939"/>
    </row>
    <row r="72" spans="1:22" s="18" customFormat="1" ht="15.75" customHeight="1">
      <c r="B72" s="48"/>
      <c r="C72" s="1296"/>
      <c r="D72" s="1240"/>
      <c r="E72" s="27"/>
      <c r="F72" s="139"/>
      <c r="G72" s="140"/>
      <c r="H72" s="141"/>
      <c r="I72" s="142" t="s">
        <v>996</v>
      </c>
      <c r="J72" s="143"/>
      <c r="L72" s="764"/>
      <c r="M72" s="1354"/>
      <c r="N72" s="1356"/>
      <c r="O72" s="66"/>
      <c r="P72" s="941"/>
      <c r="Q72" s="779">
        <v>51118</v>
      </c>
      <c r="R72" s="1018" t="s">
        <v>1030</v>
      </c>
      <c r="S72" s="775"/>
      <c r="T72" s="781"/>
      <c r="U72" s="939">
        <v>910</v>
      </c>
    </row>
    <row r="73" spans="1:22" s="18" customFormat="1" ht="15.75" customHeight="1">
      <c r="B73" s="133"/>
      <c r="C73" s="1245"/>
      <c r="D73" s="1241"/>
      <c r="E73" s="145"/>
      <c r="F73" s="134"/>
      <c r="G73" s="135"/>
      <c r="H73" s="136"/>
      <c r="I73" s="137" t="s">
        <v>996</v>
      </c>
      <c r="J73" s="138"/>
      <c r="K73" s="6"/>
      <c r="L73" s="757"/>
      <c r="M73" s="1346"/>
      <c r="N73" s="1351"/>
      <c r="O73" s="67"/>
      <c r="P73" s="942"/>
      <c r="Q73" s="141">
        <v>91361</v>
      </c>
      <c r="R73" s="1019" t="s">
        <v>1031</v>
      </c>
      <c r="S73" s="260"/>
      <c r="T73" s="782"/>
      <c r="U73" s="939">
        <v>1421</v>
      </c>
    </row>
    <row r="74" spans="1:22" s="18" customFormat="1" ht="15.75" customHeight="1">
      <c r="B74" s="48"/>
      <c r="C74" s="1296"/>
      <c r="D74" s="1240"/>
      <c r="E74" s="27"/>
      <c r="F74" s="139"/>
      <c r="G74" s="140"/>
      <c r="H74" s="141"/>
      <c r="I74" s="142" t="s">
        <v>996</v>
      </c>
      <c r="J74" s="143"/>
      <c r="K74" s="6"/>
      <c r="L74" s="768"/>
      <c r="M74" s="1348"/>
      <c r="N74" s="1352"/>
      <c r="O74" s="67"/>
      <c r="P74" s="769"/>
      <c r="Q74" s="780">
        <v>78139</v>
      </c>
      <c r="R74" s="1020" t="s">
        <v>1032</v>
      </c>
      <c r="S74" s="771"/>
      <c r="T74" s="784"/>
      <c r="U74" s="939">
        <v>1819</v>
      </c>
    </row>
    <row r="75" spans="1:22" s="18" customFormat="1" ht="15.75" customHeight="1">
      <c r="B75" s="133"/>
      <c r="C75" s="1245"/>
      <c r="D75" s="1241"/>
      <c r="E75" s="145"/>
      <c r="F75" s="134"/>
      <c r="G75" s="135"/>
      <c r="H75" s="136"/>
      <c r="I75" s="137" t="s">
        <v>996</v>
      </c>
      <c r="J75" s="138"/>
      <c r="K75" s="6"/>
      <c r="L75" s="757"/>
      <c r="M75" s="1346"/>
      <c r="N75" s="1351"/>
      <c r="O75" s="67"/>
      <c r="P75" s="942"/>
      <c r="Q75" s="141">
        <v>42059</v>
      </c>
      <c r="R75" s="1019" t="s">
        <v>1033</v>
      </c>
      <c r="S75" s="260"/>
      <c r="T75" s="782"/>
      <c r="U75" s="939">
        <v>762</v>
      </c>
    </row>
    <row r="76" spans="1:22" s="18" customFormat="1" ht="15.75" customHeight="1">
      <c r="B76" s="48"/>
      <c r="C76" s="1296"/>
      <c r="D76" s="1240"/>
      <c r="E76" s="27"/>
      <c r="F76" s="139"/>
      <c r="G76" s="140"/>
      <c r="H76" s="141"/>
      <c r="I76" s="142" t="s">
        <v>996</v>
      </c>
      <c r="J76" s="143"/>
      <c r="K76" s="6"/>
      <c r="L76" s="768"/>
      <c r="M76" s="1348"/>
      <c r="N76" s="1352"/>
      <c r="O76" s="67"/>
      <c r="P76" s="769"/>
      <c r="Q76" s="780">
        <v>24523</v>
      </c>
      <c r="R76" s="1020" t="s">
        <v>1035</v>
      </c>
      <c r="S76" s="771"/>
      <c r="T76" s="784"/>
      <c r="U76" s="939">
        <v>1591</v>
      </c>
    </row>
    <row r="77" spans="1:22" s="18" customFormat="1" ht="15.75" customHeight="1">
      <c r="B77" s="133"/>
      <c r="C77" s="1245"/>
      <c r="D77" s="1241"/>
      <c r="E77" s="145"/>
      <c r="F77" s="134"/>
      <c r="G77" s="135"/>
      <c r="H77" s="136"/>
      <c r="I77" s="137" t="s">
        <v>996</v>
      </c>
      <c r="J77" s="138"/>
      <c r="K77" s="6"/>
      <c r="L77" s="757"/>
      <c r="M77" s="1346"/>
      <c r="N77" s="1351"/>
      <c r="O77" s="67"/>
      <c r="P77" s="942"/>
      <c r="Q77" s="141">
        <v>18204</v>
      </c>
      <c r="R77" s="1019" t="s">
        <v>1034</v>
      </c>
      <c r="S77" s="260"/>
      <c r="T77" s="782"/>
      <c r="U77" s="939">
        <v>1714</v>
      </c>
    </row>
    <row r="78" spans="1:22" s="18" customFormat="1" ht="15.75" customHeight="1">
      <c r="B78" s="48"/>
      <c r="C78" s="1296"/>
      <c r="D78" s="1240"/>
      <c r="E78" s="27"/>
      <c r="F78" s="139"/>
      <c r="G78" s="140"/>
      <c r="H78" s="141"/>
      <c r="I78" s="142" t="s">
        <v>996</v>
      </c>
      <c r="J78" s="143"/>
      <c r="K78" s="75"/>
      <c r="L78" s="768"/>
      <c r="M78" s="1348"/>
      <c r="N78" s="1352"/>
      <c r="O78" s="67"/>
      <c r="P78" s="769"/>
      <c r="Q78" s="780"/>
      <c r="R78" s="1020"/>
      <c r="S78" s="771"/>
      <c r="T78" s="784"/>
      <c r="U78" s="939"/>
      <c r="V78" s="6"/>
    </row>
    <row r="79" spans="1:22" s="18" customFormat="1" ht="15.75" customHeight="1">
      <c r="B79" s="133"/>
      <c r="C79" s="1245"/>
      <c r="D79" s="1241"/>
      <c r="E79" s="145"/>
      <c r="F79" s="134"/>
      <c r="G79" s="135"/>
      <c r="H79" s="136"/>
      <c r="I79" s="137" t="s">
        <v>996</v>
      </c>
      <c r="J79" s="138"/>
      <c r="K79" s="6"/>
      <c r="L79" s="757"/>
      <c r="M79" s="1346"/>
      <c r="N79" s="1351"/>
      <c r="O79" s="67"/>
      <c r="P79" s="942"/>
      <c r="Q79" s="141"/>
      <c r="R79" s="1019"/>
      <c r="S79" s="260"/>
      <c r="T79" s="782"/>
      <c r="U79" s="939"/>
      <c r="V79" s="6"/>
    </row>
    <row r="80" spans="1:22" ht="15.75" customHeight="1">
      <c r="A80" s="18"/>
      <c r="B80" s="48">
        <v>6</v>
      </c>
      <c r="C80" s="1296">
        <v>36</v>
      </c>
      <c r="D80" s="1240"/>
      <c r="E80" s="27"/>
      <c r="F80" s="139"/>
      <c r="G80" s="140"/>
      <c r="H80" s="141" t="s">
        <v>150</v>
      </c>
      <c r="I80" s="142" t="s">
        <v>513</v>
      </c>
      <c r="J80" s="143"/>
      <c r="L80" s="768"/>
      <c r="M80" s="1348"/>
      <c r="N80" s="1352"/>
      <c r="O80" s="67"/>
      <c r="P80" s="769"/>
      <c r="Q80" s="780"/>
      <c r="R80" s="1020"/>
      <c r="S80" s="771"/>
      <c r="T80" s="784"/>
    </row>
    <row r="81" spans="1:20" ht="15.75" customHeight="1" thickBot="1">
      <c r="A81" s="18"/>
      <c r="B81" s="133">
        <v>6</v>
      </c>
      <c r="C81" s="1245">
        <v>36</v>
      </c>
      <c r="D81" s="1241"/>
      <c r="E81" s="145"/>
      <c r="F81" s="134"/>
      <c r="G81" s="135"/>
      <c r="H81" s="136" t="s">
        <v>150</v>
      </c>
      <c r="I81" s="137" t="s">
        <v>515</v>
      </c>
      <c r="J81" s="138"/>
      <c r="K81" s="18"/>
      <c r="L81" s="1021"/>
      <c r="M81" s="1355"/>
      <c r="N81" s="1357"/>
      <c r="O81" s="279"/>
      <c r="P81" s="1022"/>
      <c r="Q81" s="1023"/>
      <c r="R81" s="1024"/>
      <c r="S81" s="1025"/>
      <c r="T81" s="1026"/>
    </row>
    <row r="82" spans="1:20" ht="15.75" customHeight="1" thickBot="1">
      <c r="B82" s="48">
        <v>6</v>
      </c>
      <c r="C82" s="1296">
        <v>36</v>
      </c>
      <c r="D82" s="1240"/>
      <c r="E82" s="27"/>
      <c r="F82" s="139"/>
      <c r="G82" s="140"/>
      <c r="H82" s="141" t="s">
        <v>150</v>
      </c>
      <c r="I82" s="142" t="s">
        <v>514</v>
      </c>
      <c r="J82" s="143"/>
      <c r="K82" s="18"/>
    </row>
    <row r="83" spans="1:20" ht="15.75" customHeight="1">
      <c r="B83" s="133">
        <v>1</v>
      </c>
      <c r="C83" s="1245">
        <v>6</v>
      </c>
      <c r="D83" s="1241"/>
      <c r="E83" s="145"/>
      <c r="F83" s="134"/>
      <c r="G83" s="135"/>
      <c r="H83" s="136" t="s">
        <v>150</v>
      </c>
      <c r="I83" s="137" t="s">
        <v>242</v>
      </c>
      <c r="J83" s="138"/>
      <c r="K83" s="18"/>
      <c r="L83" s="1912" t="s">
        <v>640</v>
      </c>
      <c r="M83" s="1913"/>
      <c r="N83" s="2329" t="s">
        <v>1174</v>
      </c>
      <c r="O83" s="54"/>
      <c r="P83" s="2334" t="s">
        <v>680</v>
      </c>
      <c r="Q83" s="2335"/>
      <c r="R83" s="215" t="s">
        <v>681</v>
      </c>
      <c r="S83" s="96"/>
      <c r="T83" s="167" t="s">
        <v>723</v>
      </c>
    </row>
    <row r="84" spans="1:20" ht="15.75" customHeight="1" thickBot="1">
      <c r="B84" s="146"/>
      <c r="C84" s="1304"/>
      <c r="D84" s="1268"/>
      <c r="E84" s="100"/>
      <c r="F84" s="147"/>
      <c r="G84" s="148"/>
      <c r="H84" s="149"/>
      <c r="I84" s="150"/>
      <c r="J84" s="151"/>
      <c r="K84" s="18"/>
      <c r="L84" s="28" t="s">
        <v>5</v>
      </c>
      <c r="M84" s="912" t="s">
        <v>6</v>
      </c>
      <c r="N84" s="2330"/>
      <c r="O84" s="40"/>
      <c r="P84" s="2377" t="s">
        <v>682</v>
      </c>
      <c r="Q84" s="2378"/>
      <c r="R84" s="216" t="s">
        <v>683</v>
      </c>
      <c r="S84" s="192"/>
      <c r="T84" s="483">
        <v>45505</v>
      </c>
    </row>
    <row r="85" spans="1:20" ht="15.75" customHeight="1" thickBot="1">
      <c r="K85" s="18"/>
      <c r="L85" s="446"/>
      <c r="M85" s="1358"/>
      <c r="N85" s="1239"/>
      <c r="O85" s="40"/>
      <c r="P85" s="344"/>
      <c r="Q85" s="931" t="s">
        <v>706</v>
      </c>
      <c r="R85" s="216" t="s">
        <v>704</v>
      </c>
      <c r="S85" s="192"/>
      <c r="T85" s="423">
        <v>2275</v>
      </c>
    </row>
    <row r="86" spans="1:20" ht="15.75" customHeight="1">
      <c r="B86" s="2476" t="s">
        <v>640</v>
      </c>
      <c r="C86" s="2477"/>
      <c r="D86" s="2329" t="s">
        <v>1174</v>
      </c>
      <c r="E86" s="66"/>
      <c r="F86" s="2503" t="s">
        <v>465</v>
      </c>
      <c r="G86" s="2504"/>
      <c r="H86" s="54" t="s">
        <v>345</v>
      </c>
      <c r="I86" s="617"/>
      <c r="J86" s="167" t="s">
        <v>723</v>
      </c>
      <c r="K86" s="18"/>
      <c r="L86" s="448"/>
      <c r="M86" s="1359"/>
      <c r="N86" s="1361"/>
      <c r="O86" s="40"/>
      <c r="P86" s="345"/>
      <c r="Q86" s="947" t="s">
        <v>706</v>
      </c>
      <c r="R86" s="735" t="s">
        <v>704</v>
      </c>
      <c r="S86" s="315"/>
      <c r="T86" s="437">
        <v>2275</v>
      </c>
    </row>
    <row r="87" spans="1:20" ht="15.75" customHeight="1">
      <c r="B87" s="2478"/>
      <c r="C87" s="2479"/>
      <c r="D87" s="2330"/>
      <c r="E87" s="67"/>
      <c r="F87" s="2505"/>
      <c r="G87" s="2506"/>
      <c r="H87" s="59" t="s">
        <v>250</v>
      </c>
      <c r="I87" s="620"/>
      <c r="J87" s="82"/>
      <c r="K87" s="18"/>
      <c r="L87" s="446"/>
      <c r="M87" s="1358"/>
      <c r="N87" s="1239"/>
      <c r="O87" s="40"/>
      <c r="P87" s="344"/>
      <c r="Q87" s="931" t="s">
        <v>707</v>
      </c>
      <c r="R87" s="216" t="s">
        <v>705</v>
      </c>
      <c r="S87" s="192"/>
      <c r="T87" s="423">
        <v>2001</v>
      </c>
    </row>
    <row r="88" spans="1:20" ht="15.75" customHeight="1">
      <c r="B88" s="63" t="s">
        <v>5</v>
      </c>
      <c r="C88" s="1334" t="s">
        <v>6</v>
      </c>
      <c r="D88" s="1259"/>
      <c r="E88" s="65"/>
      <c r="F88" s="2505"/>
      <c r="G88" s="2506"/>
      <c r="H88" s="60" t="s">
        <v>200</v>
      </c>
      <c r="I88" s="619"/>
      <c r="J88" s="217"/>
      <c r="L88" s="448"/>
      <c r="M88" s="1359"/>
      <c r="N88" s="1361"/>
      <c r="O88" s="40"/>
      <c r="P88" s="345"/>
      <c r="Q88" s="947" t="s">
        <v>717</v>
      </c>
      <c r="R88" s="735" t="s">
        <v>716</v>
      </c>
      <c r="S88" s="315"/>
      <c r="T88" s="437">
        <v>28219</v>
      </c>
    </row>
    <row r="89" spans="1:20" ht="15.75" customHeight="1">
      <c r="B89" s="31">
        <v>20</v>
      </c>
      <c r="C89" s="1231">
        <v>100</v>
      </c>
      <c r="D89" s="1240"/>
      <c r="E89" s="124"/>
      <c r="F89" s="340"/>
      <c r="G89" s="16" t="s">
        <v>15</v>
      </c>
      <c r="H89" s="29" t="s">
        <v>251</v>
      </c>
      <c r="I89" s="618"/>
      <c r="J89" s="35"/>
      <c r="L89" s="446"/>
      <c r="M89" s="1358"/>
      <c r="N89" s="1239"/>
      <c r="O89" s="40"/>
      <c r="P89" s="344"/>
      <c r="Q89" s="931" t="s">
        <v>706</v>
      </c>
      <c r="R89" s="216" t="s">
        <v>715</v>
      </c>
      <c r="S89" s="192"/>
      <c r="T89" s="423">
        <v>3591</v>
      </c>
    </row>
    <row r="90" spans="1:20" ht="15.75" customHeight="1" thickBot="1">
      <c r="B90" s="109">
        <v>20</v>
      </c>
      <c r="C90" s="1335">
        <v>50</v>
      </c>
      <c r="D90" s="1262"/>
      <c r="E90" s="130"/>
      <c r="F90" s="343"/>
      <c r="G90" s="131" t="s">
        <v>15</v>
      </c>
      <c r="H90" s="132" t="s">
        <v>252</v>
      </c>
      <c r="I90" s="622"/>
      <c r="J90" s="110"/>
      <c r="L90" s="448"/>
      <c r="M90" s="1359"/>
      <c r="N90" s="1361"/>
      <c r="O90" s="40"/>
      <c r="P90" s="345"/>
      <c r="Q90" s="947" t="s">
        <v>709</v>
      </c>
      <c r="R90" s="735" t="s">
        <v>708</v>
      </c>
      <c r="S90" s="315"/>
      <c r="T90" s="437">
        <v>2094.4</v>
      </c>
    </row>
    <row r="91" spans="1:20" ht="15.75" customHeight="1" thickBot="1">
      <c r="B91" s="87"/>
      <c r="C91" s="87"/>
      <c r="D91" s="87"/>
      <c r="E91" s="87"/>
      <c r="F91" s="75"/>
      <c r="G91" s="87"/>
      <c r="H91" s="87"/>
      <c r="I91" s="18"/>
      <c r="J91" s="87"/>
      <c r="L91" s="446"/>
      <c r="M91" s="1358"/>
      <c r="N91" s="1239"/>
      <c r="O91" s="40"/>
      <c r="P91" s="344"/>
      <c r="Q91" s="931" t="s">
        <v>711</v>
      </c>
      <c r="R91" s="216" t="s">
        <v>710</v>
      </c>
      <c r="S91" s="192"/>
      <c r="T91" s="423">
        <v>2217</v>
      </c>
    </row>
    <row r="92" spans="1:20" ht="15.75" customHeight="1">
      <c r="B92" s="2476" t="s">
        <v>640</v>
      </c>
      <c r="C92" s="2477"/>
      <c r="D92" s="2329" t="s">
        <v>1174</v>
      </c>
      <c r="E92" s="66"/>
      <c r="F92" s="2503" t="s">
        <v>296</v>
      </c>
      <c r="G92" s="2504"/>
      <c r="H92" s="94" t="s">
        <v>299</v>
      </c>
      <c r="I92" s="611"/>
      <c r="J92" s="167" t="s">
        <v>723</v>
      </c>
      <c r="L92" s="484"/>
      <c r="M92" s="1360"/>
      <c r="N92" s="1362"/>
      <c r="O92" s="40"/>
      <c r="P92" s="345"/>
      <c r="Q92" s="947" t="s">
        <v>712</v>
      </c>
      <c r="R92" s="735" t="s">
        <v>710</v>
      </c>
      <c r="S92" s="315"/>
      <c r="T92" s="456">
        <v>3544</v>
      </c>
    </row>
    <row r="93" spans="1:20" ht="15.75" customHeight="1" thickBot="1">
      <c r="B93" s="2478"/>
      <c r="C93" s="2479"/>
      <c r="D93" s="2330"/>
      <c r="E93" s="67"/>
      <c r="F93" s="2505"/>
      <c r="G93" s="2506"/>
      <c r="H93" s="93" t="s">
        <v>766</v>
      </c>
      <c r="I93" s="616"/>
      <c r="J93" s="30"/>
      <c r="L93" s="449"/>
      <c r="M93" s="1343"/>
      <c r="N93" s="1281"/>
      <c r="O93" s="58"/>
      <c r="P93" s="450"/>
      <c r="Q93" s="948" t="s">
        <v>714</v>
      </c>
      <c r="R93" s="736" t="s">
        <v>713</v>
      </c>
      <c r="S93" s="737"/>
      <c r="T93" s="451">
        <v>419</v>
      </c>
    </row>
    <row r="94" spans="1:20" ht="15.75" customHeight="1" thickBot="1">
      <c r="B94" s="63" t="s">
        <v>5</v>
      </c>
      <c r="C94" s="1334" t="s">
        <v>6</v>
      </c>
      <c r="D94" s="1259"/>
      <c r="E94" s="65"/>
      <c r="F94" s="2505"/>
      <c r="G94" s="2506"/>
      <c r="H94" s="613" t="s">
        <v>298</v>
      </c>
      <c r="I94" s="620"/>
      <c r="J94" s="217"/>
    </row>
    <row r="95" spans="1:20" ht="15.75" customHeight="1" thickBot="1">
      <c r="B95" s="755">
        <v>20</v>
      </c>
      <c r="C95" s="1336">
        <v>100</v>
      </c>
      <c r="D95" s="1337"/>
      <c r="E95" s="68"/>
      <c r="F95" s="748"/>
      <c r="G95" s="749" t="s">
        <v>15</v>
      </c>
      <c r="H95" s="753" t="s">
        <v>297</v>
      </c>
      <c r="I95" s="754"/>
      <c r="J95" s="752"/>
      <c r="L95" s="2476" t="s">
        <v>640</v>
      </c>
      <c r="M95" s="2477"/>
      <c r="N95" s="2329" t="s">
        <v>1174</v>
      </c>
      <c r="O95" s="61"/>
      <c r="P95" s="1938" t="s">
        <v>306</v>
      </c>
      <c r="Q95" s="1965"/>
      <c r="R95" s="215" t="s">
        <v>300</v>
      </c>
      <c r="S95" s="728"/>
      <c r="T95" s="167" t="s">
        <v>723</v>
      </c>
    </row>
    <row r="96" spans="1:20" ht="15.75" customHeight="1" thickBot="1">
      <c r="K96" s="970"/>
      <c r="L96" s="2478"/>
      <c r="M96" s="2479"/>
      <c r="N96" s="2330"/>
      <c r="O96" s="62"/>
      <c r="P96" s="1969"/>
      <c r="Q96" s="2470"/>
      <c r="R96" s="729" t="s">
        <v>308</v>
      </c>
      <c r="S96" s="730"/>
      <c r="T96" s="30"/>
    </row>
    <row r="97" spans="2:20" ht="15.75" customHeight="1">
      <c r="B97" s="2332" t="s">
        <v>640</v>
      </c>
      <c r="C97" s="2425"/>
      <c r="D97" s="2329" t="s">
        <v>1174</v>
      </c>
      <c r="E97" s="66"/>
      <c r="F97" s="1938" t="s">
        <v>368</v>
      </c>
      <c r="G97" s="1965"/>
      <c r="H97" s="738" t="s">
        <v>369</v>
      </c>
      <c r="I97" s="739"/>
      <c r="J97" s="665" t="s">
        <v>4</v>
      </c>
      <c r="K97" s="87"/>
      <c r="L97" s="2472" t="s">
        <v>5</v>
      </c>
      <c r="M97" s="2474" t="s">
        <v>6</v>
      </c>
      <c r="N97" s="1259"/>
      <c r="O97" s="64"/>
      <c r="P97" s="1969"/>
      <c r="Q97" s="2470"/>
      <c r="R97" s="731" t="s">
        <v>307</v>
      </c>
      <c r="S97" s="732"/>
      <c r="T97" s="30"/>
    </row>
    <row r="98" spans="2:20" ht="15.75" customHeight="1">
      <c r="B98" s="2518"/>
      <c r="C98" s="2519"/>
      <c r="D98" s="2330"/>
      <c r="E98" s="67"/>
      <c r="F98" s="1969"/>
      <c r="G98" s="2470"/>
      <c r="H98" s="740" t="s">
        <v>370</v>
      </c>
      <c r="I98" s="741"/>
      <c r="J98" s="452"/>
      <c r="K98" s="87"/>
      <c r="L98" s="2473"/>
      <c r="M98" s="2475"/>
      <c r="N98" s="1259"/>
      <c r="O98" s="87"/>
      <c r="P98" s="2326"/>
      <c r="Q98" s="2471"/>
      <c r="R98" s="959" t="s">
        <v>309</v>
      </c>
      <c r="S98" s="960"/>
      <c r="T98" s="30"/>
    </row>
    <row r="99" spans="2:20" ht="15.75" customHeight="1" thickBot="1">
      <c r="B99" s="63" t="s">
        <v>5</v>
      </c>
      <c r="C99" s="1334" t="s">
        <v>6</v>
      </c>
      <c r="D99" s="1259"/>
      <c r="E99" s="65"/>
      <c r="F99" s="1966"/>
      <c r="G99" s="1967"/>
      <c r="H99" s="191" t="s">
        <v>371</v>
      </c>
      <c r="I99" s="742"/>
      <c r="J99" s="447"/>
      <c r="K99" s="87"/>
      <c r="L99" s="115"/>
      <c r="M99" s="1363">
        <v>5000</v>
      </c>
      <c r="N99" s="1261"/>
      <c r="O99" s="44"/>
      <c r="P99" s="355"/>
      <c r="Q99" s="107" t="s">
        <v>15</v>
      </c>
      <c r="R99" s="733" t="s">
        <v>334</v>
      </c>
      <c r="S99" s="734"/>
      <c r="T99" s="108"/>
    </row>
    <row r="100" spans="2:20" ht="15.75" customHeight="1">
      <c r="B100" s="31"/>
      <c r="C100" s="1231"/>
      <c r="D100" s="1240"/>
      <c r="E100" s="124"/>
      <c r="F100" s="356"/>
      <c r="G100" s="203" t="s">
        <v>373</v>
      </c>
      <c r="H100" s="216" t="s">
        <v>372</v>
      </c>
      <c r="I100" s="192"/>
      <c r="J100" s="200"/>
      <c r="L100" s="87"/>
      <c r="M100" s="87"/>
      <c r="N100" s="87"/>
    </row>
    <row r="101" spans="2:20" ht="15.75" customHeight="1">
      <c r="B101" s="125"/>
      <c r="C101" s="1230"/>
      <c r="D101" s="1238"/>
      <c r="E101" s="127"/>
      <c r="F101" s="357"/>
      <c r="G101" s="204" t="s">
        <v>375</v>
      </c>
      <c r="H101" s="735" t="s">
        <v>374</v>
      </c>
      <c r="I101" s="315"/>
      <c r="J101" s="201"/>
    </row>
    <row r="102" spans="2:20" ht="15.75" customHeight="1">
      <c r="B102" s="31"/>
      <c r="C102" s="1231"/>
      <c r="D102" s="1240"/>
      <c r="E102" s="124"/>
      <c r="F102" s="356"/>
      <c r="G102" s="205" t="s">
        <v>376</v>
      </c>
      <c r="H102" s="216" t="s">
        <v>377</v>
      </c>
      <c r="I102" s="192"/>
      <c r="J102" s="200"/>
    </row>
    <row r="103" spans="2:20" ht="15.75" customHeight="1">
      <c r="B103" s="125"/>
      <c r="C103" s="1230"/>
      <c r="D103" s="1238"/>
      <c r="E103" s="127"/>
      <c r="F103" s="357"/>
      <c r="G103" s="204" t="s">
        <v>376</v>
      </c>
      <c r="H103" s="735" t="s">
        <v>378</v>
      </c>
      <c r="I103" s="315"/>
      <c r="J103" s="201"/>
    </row>
    <row r="104" spans="2:20" ht="15.75" customHeight="1">
      <c r="B104" s="31"/>
      <c r="C104" s="1231"/>
      <c r="D104" s="1240"/>
      <c r="E104" s="124"/>
      <c r="F104" s="356"/>
      <c r="G104" s="205" t="s">
        <v>382</v>
      </c>
      <c r="H104" s="216" t="s">
        <v>379</v>
      </c>
      <c r="I104" s="192"/>
      <c r="J104" s="200"/>
    </row>
    <row r="105" spans="2:20" ht="15.75" customHeight="1">
      <c r="B105" s="125"/>
      <c r="C105" s="1230"/>
      <c r="D105" s="1238"/>
      <c r="E105" s="127"/>
      <c r="F105" s="357"/>
      <c r="G105" s="204" t="s">
        <v>382</v>
      </c>
      <c r="H105" s="735" t="s">
        <v>380</v>
      </c>
      <c r="I105" s="315"/>
      <c r="J105" s="201"/>
      <c r="K105" s="75"/>
    </row>
    <row r="106" spans="2:20" ht="15.75" customHeight="1">
      <c r="B106" s="31"/>
      <c r="C106" s="1231"/>
      <c r="D106" s="1240"/>
      <c r="E106" s="124"/>
      <c r="F106" s="356"/>
      <c r="G106" s="205" t="s">
        <v>382</v>
      </c>
      <c r="H106" s="216" t="s">
        <v>381</v>
      </c>
      <c r="I106" s="192"/>
      <c r="J106" s="200"/>
      <c r="K106" s="75"/>
      <c r="L106" s="75"/>
      <c r="M106" s="75"/>
      <c r="N106" s="75"/>
      <c r="O106" s="75"/>
      <c r="P106" s="75"/>
      <c r="Q106" s="75"/>
      <c r="R106" s="75"/>
      <c r="S106" s="75"/>
      <c r="T106" s="1963" t="s">
        <v>1048</v>
      </c>
    </row>
    <row r="107" spans="2:20" ht="15.75" customHeight="1" thickBot="1">
      <c r="B107" s="109"/>
      <c r="C107" s="1335"/>
      <c r="D107" s="1262"/>
      <c r="E107" s="130"/>
      <c r="F107" s="343"/>
      <c r="G107" s="206" t="s">
        <v>383</v>
      </c>
      <c r="H107" s="743" t="s">
        <v>384</v>
      </c>
      <c r="I107" s="391"/>
      <c r="J107" s="202"/>
      <c r="K107" s="680"/>
      <c r="L107"/>
      <c r="M107"/>
      <c r="N107"/>
      <c r="O107"/>
      <c r="P107"/>
      <c r="Q107" s="324"/>
      <c r="R107"/>
      <c r="S107"/>
      <c r="T107" s="1963"/>
    </row>
    <row r="108" spans="2:20" ht="15.75" customHeight="1">
      <c r="B108" s="1430"/>
      <c r="C108" s="1430"/>
      <c r="D108" s="1430"/>
      <c r="E108" s="1430"/>
      <c r="F108" s="1430"/>
      <c r="G108" s="1430"/>
      <c r="H108" s="1430"/>
      <c r="I108" s="1430"/>
      <c r="J108" s="1430"/>
      <c r="K108" s="681"/>
      <c r="L108" s="163"/>
      <c r="M108" s="163"/>
      <c r="N108" s="163"/>
      <c r="O108" s="163"/>
      <c r="P108" s="163"/>
      <c r="Q108" s="353"/>
      <c r="R108" s="163"/>
      <c r="S108" s="163"/>
      <c r="T108" s="1964"/>
    </row>
    <row r="109" spans="2:20" ht="15.75" customHeight="1">
      <c r="B109" s="87"/>
      <c r="C109" s="87"/>
      <c r="D109" s="87"/>
      <c r="E109" s="87"/>
      <c r="F109" s="87"/>
      <c r="G109" s="87"/>
      <c r="H109" s="87"/>
      <c r="I109" s="87"/>
      <c r="J109" s="87"/>
    </row>
    <row r="110" spans="2:20" ht="15.75" customHeight="1">
      <c r="B110" s="75"/>
      <c r="C110" s="75"/>
      <c r="D110" s="75"/>
      <c r="E110" s="75"/>
      <c r="F110" s="75"/>
      <c r="G110" s="75"/>
      <c r="H110" s="75"/>
      <c r="I110" s="75"/>
      <c r="J110" s="75"/>
    </row>
    <row r="111" spans="2:20" ht="15.75" customHeight="1">
      <c r="F111" s="6"/>
      <c r="G111" s="6"/>
      <c r="H111" s="6"/>
    </row>
    <row r="112" spans="2:20" ht="15.75" customHeight="1">
      <c r="F112" s="6"/>
      <c r="G112" s="6"/>
      <c r="H112" s="6"/>
    </row>
    <row r="113" spans="6:8" ht="15.75" customHeight="1">
      <c r="F113" s="6"/>
      <c r="G113" s="6"/>
      <c r="H113" s="6"/>
    </row>
    <row r="114" spans="6:8" ht="15.75" customHeight="1">
      <c r="F114" s="6"/>
      <c r="G114" s="6"/>
      <c r="H114" s="6"/>
    </row>
    <row r="115" spans="6:8" ht="15.75" customHeight="1"/>
    <row r="116" spans="6:8" ht="15.75" customHeight="1"/>
    <row r="117" spans="6:8" ht="15.75" customHeight="1"/>
    <row r="118" spans="6:8" ht="15.75" customHeight="1"/>
    <row r="119" spans="6:8" ht="15.75" customHeight="1"/>
    <row r="120" spans="6:8" ht="15.75" customHeight="1"/>
    <row r="121" spans="6:8" ht="15.75" customHeight="1"/>
    <row r="122" spans="6:8" ht="15.75" customHeight="1"/>
    <row r="123" spans="6:8" ht="15.75" customHeight="1"/>
    <row r="124" spans="6:8" ht="15.75" customHeight="1"/>
    <row r="125" spans="6:8" ht="15.75" customHeight="1"/>
    <row r="126" spans="6:8" ht="15.75" customHeight="1"/>
    <row r="127" spans="6:8" ht="15.75" customHeight="1"/>
    <row r="128" spans="6:8" ht="15.75" customHeight="1"/>
    <row r="129" spans="2:2" ht="15.75" customHeight="1"/>
    <row r="130" spans="2:2" ht="15.75" customHeight="1"/>
    <row r="131" spans="2:2" ht="15.75" customHeight="1"/>
    <row r="132" spans="2:2" ht="15.75" customHeight="1"/>
    <row r="133" spans="2:2" ht="15.75" customHeight="1"/>
    <row r="134" spans="2:2" ht="15.75" customHeight="1">
      <c r="B134" s="18"/>
    </row>
    <row r="135" spans="2:2" ht="15.75" customHeight="1">
      <c r="B135" s="18"/>
    </row>
    <row r="136" spans="2:2" ht="15.75" customHeight="1">
      <c r="B136" s="18"/>
    </row>
    <row r="137" spans="2:2" ht="15.75" customHeight="1">
      <c r="B137" s="18"/>
    </row>
    <row r="138" spans="2:2" ht="15.75" customHeight="1">
      <c r="B138" s="18"/>
    </row>
    <row r="139" spans="2:2" ht="15.75" customHeight="1">
      <c r="B139" s="18"/>
    </row>
    <row r="140" spans="2:2" ht="15.75" customHeight="1">
      <c r="B140" s="18"/>
    </row>
    <row r="141" spans="2:2" ht="15.75" customHeight="1">
      <c r="B141" s="18"/>
    </row>
    <row r="142" spans="2:2" ht="15.75" customHeight="1">
      <c r="B142" s="18"/>
    </row>
    <row r="143" spans="2:2" ht="15.75" customHeight="1">
      <c r="B143" s="18"/>
    </row>
    <row r="144" spans="2:2" ht="15.75" customHeight="1">
      <c r="B144" s="18"/>
    </row>
    <row r="145" spans="2:2" ht="15.75" customHeight="1">
      <c r="B145" s="18"/>
    </row>
    <row r="146" spans="2:2" ht="15.75" customHeight="1">
      <c r="B146" s="18"/>
    </row>
    <row r="147" spans="2:2" ht="15.75" customHeight="1"/>
    <row r="148" spans="2:2" ht="15.75" customHeight="1"/>
    <row r="149" spans="2:2" ht="15.75" customHeight="1"/>
    <row r="150" spans="2:2" ht="15.75" customHeight="1"/>
    <row r="151" spans="2:2" ht="15.75" customHeight="1"/>
    <row r="152" spans="2:2" ht="15.75" customHeight="1"/>
    <row r="153" spans="2:2" ht="15.75" customHeight="1"/>
    <row r="154" spans="2:2" ht="15.75" customHeight="1"/>
    <row r="155" spans="2:2" ht="15.75" customHeight="1"/>
    <row r="156" spans="2:2" ht="15.75" customHeight="1"/>
    <row r="157" spans="2:2" ht="15.75" customHeight="1"/>
    <row r="158" spans="2:2" ht="15.75" customHeight="1"/>
    <row r="159" spans="2:2" ht="15.75" customHeight="1"/>
    <row r="160" spans="2:2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mergeCells count="72">
    <mergeCell ref="G43:H43"/>
    <mergeCell ref="G44:H44"/>
    <mergeCell ref="S1:T1"/>
    <mergeCell ref="L2:M2"/>
    <mergeCell ref="P4:Q4"/>
    <mergeCell ref="P3:Q3"/>
    <mergeCell ref="P2:Q2"/>
    <mergeCell ref="L3:L5"/>
    <mergeCell ref="M3:M5"/>
    <mergeCell ref="N2:N5"/>
    <mergeCell ref="J10:J12"/>
    <mergeCell ref="L41:M41"/>
    <mergeCell ref="L44:M44"/>
    <mergeCell ref="C10:C12"/>
    <mergeCell ref="F9:G10"/>
    <mergeCell ref="B46:C47"/>
    <mergeCell ref="F46:H47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T106:T108"/>
    <mergeCell ref="B86:C87"/>
    <mergeCell ref="B92:C93"/>
    <mergeCell ref="F92:G94"/>
    <mergeCell ref="H13:I13"/>
    <mergeCell ref="F86:G88"/>
    <mergeCell ref="B29:C30"/>
    <mergeCell ref="F29:H30"/>
    <mergeCell ref="F18:G19"/>
    <mergeCell ref="D29:D30"/>
    <mergeCell ref="B97:C98"/>
    <mergeCell ref="F97:G99"/>
    <mergeCell ref="P83:Q83"/>
    <mergeCell ref="P84:Q84"/>
    <mergeCell ref="P55:R55"/>
    <mergeCell ref="L56:M56"/>
    <mergeCell ref="B4:C5"/>
    <mergeCell ref="F4:G6"/>
    <mergeCell ref="D4:D5"/>
    <mergeCell ref="D25:D26"/>
    <mergeCell ref="D18:D19"/>
    <mergeCell ref="B9:C9"/>
    <mergeCell ref="F11:G12"/>
    <mergeCell ref="B25:C25"/>
    <mergeCell ref="F25:G26"/>
    <mergeCell ref="D9:D10"/>
    <mergeCell ref="B10:B12"/>
    <mergeCell ref="B14:J14"/>
    <mergeCell ref="B15:J15"/>
    <mergeCell ref="B16:J16"/>
    <mergeCell ref="F17:G17"/>
    <mergeCell ref="B18:C18"/>
    <mergeCell ref="P95:Q98"/>
    <mergeCell ref="D46:D47"/>
    <mergeCell ref="D86:D87"/>
    <mergeCell ref="D92:D93"/>
    <mergeCell ref="D97:D98"/>
    <mergeCell ref="N83:N84"/>
    <mergeCell ref="N95:N96"/>
    <mergeCell ref="L83:M83"/>
    <mergeCell ref="L97:L98"/>
    <mergeCell ref="M97:M98"/>
    <mergeCell ref="L95:M96"/>
  </mergeCells>
  <phoneticPr fontId="17" type="noConversion"/>
  <hyperlinks>
    <hyperlink ref="R97" r:id="rId1" xr:uid="{3AE42845-51ED-4273-925A-384EDDD4A068}"/>
  </hyperlinks>
  <printOptions horizontalCentered="1" verticalCentered="1"/>
  <pageMargins left="0.23622047244094491" right="0.23622047244094491" top="0.39370078740157483" bottom="0.39370078740157483" header="0.31496062992125984" footer="0.31496062992125984"/>
  <pageSetup scale="42" fitToHeight="0"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3847-DAA7-4754-BEE1-B20208484FA9}">
  <sheetPr>
    <pageSetUpPr fitToPage="1"/>
  </sheetPr>
  <dimension ref="B2:N181"/>
  <sheetViews>
    <sheetView workbookViewId="0">
      <selection activeCell="Q43" sqref="Q43"/>
    </sheetView>
  </sheetViews>
  <sheetFormatPr baseColWidth="10" defaultColWidth="11.42578125" defaultRowHeight="15"/>
  <cols>
    <col min="1" max="1" width="5.85546875" style="1507" customWidth="1"/>
    <col min="2" max="4" width="17.28515625" style="1507" customWidth="1"/>
    <col min="5" max="5" width="5.140625" style="1507" customWidth="1"/>
    <col min="6" max="9" width="17.28515625" style="1507" customWidth="1"/>
    <col min="10" max="10" width="5.140625" style="1507" customWidth="1"/>
    <col min="11" max="14" width="17.28515625" style="1507" customWidth="1"/>
    <col min="15" max="16384" width="11.42578125" style="1507"/>
  </cols>
  <sheetData>
    <row r="2" spans="2:14" ht="18.75">
      <c r="B2" s="2555" t="s">
        <v>1180</v>
      </c>
      <c r="C2" s="2555"/>
      <c r="D2" s="2555"/>
      <c r="E2" s="1508"/>
      <c r="F2" s="2557" t="s">
        <v>1185</v>
      </c>
      <c r="G2" s="2557"/>
      <c r="H2" s="2557"/>
      <c r="I2" s="2557"/>
      <c r="J2" s="1508"/>
      <c r="K2" s="2556" t="s">
        <v>1186</v>
      </c>
      <c r="L2" s="2556"/>
      <c r="M2" s="2556"/>
      <c r="N2" s="2556"/>
    </row>
    <row r="3" spans="2:14">
      <c r="B3" s="1509" t="s">
        <v>1181</v>
      </c>
      <c r="C3" s="1509" t="s">
        <v>1182</v>
      </c>
      <c r="D3" s="1509" t="s">
        <v>1183</v>
      </c>
      <c r="E3" s="902"/>
      <c r="F3" s="1509" t="s">
        <v>1187</v>
      </c>
      <c r="G3" s="1509" t="s">
        <v>1184</v>
      </c>
      <c r="H3" s="1509" t="s">
        <v>1190</v>
      </c>
      <c r="I3" s="1509" t="s">
        <v>1192</v>
      </c>
      <c r="J3" s="902"/>
      <c r="K3" s="1509" t="s">
        <v>1188</v>
      </c>
      <c r="L3" s="1509" t="s">
        <v>1189</v>
      </c>
      <c r="M3" s="1509" t="s">
        <v>1190</v>
      </c>
      <c r="N3" s="1509" t="s">
        <v>1191</v>
      </c>
    </row>
    <row r="4" spans="2:14" ht="18.75" customHeight="1">
      <c r="B4" s="1510"/>
      <c r="C4" s="1510"/>
      <c r="D4" s="1510"/>
      <c r="F4" s="1510"/>
      <c r="G4" s="1510"/>
      <c r="H4" s="1510"/>
      <c r="I4" s="1510"/>
      <c r="K4" s="1510"/>
      <c r="L4" s="1510"/>
      <c r="M4" s="1510"/>
      <c r="N4" s="1510"/>
    </row>
    <row r="5" spans="2:14" ht="18.75" customHeight="1">
      <c r="B5" s="1510"/>
      <c r="C5" s="1510"/>
      <c r="D5" s="1510"/>
      <c r="F5" s="1510"/>
      <c r="G5" s="1510"/>
      <c r="H5" s="1510"/>
      <c r="I5" s="1510"/>
      <c r="K5" s="1510"/>
      <c r="L5" s="1510"/>
      <c r="M5" s="1510"/>
      <c r="N5" s="1510"/>
    </row>
    <row r="6" spans="2:14" ht="18.75" customHeight="1">
      <c r="B6" s="1510"/>
      <c r="C6" s="1510"/>
      <c r="D6" s="1510"/>
      <c r="F6" s="1510"/>
      <c r="G6" s="1510"/>
      <c r="H6" s="1510"/>
      <c r="I6" s="1510"/>
      <c r="K6" s="1510"/>
      <c r="L6" s="1510"/>
      <c r="M6" s="1510"/>
      <c r="N6" s="1510"/>
    </row>
    <row r="7" spans="2:14" ht="18.75" customHeight="1">
      <c r="B7" s="1510"/>
      <c r="C7" s="1510"/>
      <c r="D7" s="1510"/>
      <c r="F7" s="1510"/>
      <c r="G7" s="1510"/>
      <c r="H7" s="1510"/>
      <c r="I7" s="1510"/>
      <c r="K7" s="1510"/>
      <c r="L7" s="1510"/>
      <c r="M7" s="1510"/>
      <c r="N7" s="1510"/>
    </row>
    <row r="8" spans="2:14" ht="18.75" customHeight="1">
      <c r="B8" s="1510"/>
      <c r="C8" s="1510"/>
      <c r="D8" s="1510"/>
      <c r="F8" s="1510"/>
      <c r="G8" s="1510"/>
      <c r="H8" s="1510"/>
      <c r="I8" s="1510"/>
      <c r="K8" s="1510"/>
      <c r="L8" s="1510"/>
      <c r="M8" s="1510"/>
      <c r="N8" s="1510"/>
    </row>
    <row r="9" spans="2:14" ht="18.75" customHeight="1">
      <c r="B9" s="1510"/>
      <c r="C9" s="1510"/>
      <c r="D9" s="1510"/>
      <c r="F9" s="1510"/>
      <c r="G9" s="1510"/>
      <c r="H9" s="1510"/>
      <c r="I9" s="1510"/>
      <c r="K9" s="1510"/>
      <c r="L9" s="1510"/>
      <c r="M9" s="1510"/>
      <c r="N9" s="1510"/>
    </row>
    <row r="10" spans="2:14" ht="18.75" customHeight="1">
      <c r="B10" s="1510"/>
      <c r="C10" s="1510"/>
      <c r="D10" s="1510"/>
      <c r="F10" s="1510"/>
      <c r="G10" s="1510"/>
      <c r="H10" s="1510"/>
      <c r="I10" s="1510"/>
      <c r="K10" s="1510"/>
      <c r="L10" s="1510"/>
      <c r="M10" s="1510"/>
      <c r="N10" s="1510"/>
    </row>
    <row r="11" spans="2:14" ht="18.75" customHeight="1">
      <c r="B11" s="1510"/>
      <c r="C11" s="1510"/>
      <c r="D11" s="1510"/>
      <c r="F11" s="1510"/>
      <c r="G11" s="1510"/>
      <c r="H11" s="1510"/>
      <c r="I11" s="1510"/>
      <c r="K11" s="1510"/>
      <c r="L11" s="1510"/>
      <c r="M11" s="1510"/>
      <c r="N11" s="1510"/>
    </row>
    <row r="12" spans="2:14" ht="18.75" customHeight="1">
      <c r="B12" s="1510"/>
      <c r="C12" s="1510"/>
      <c r="D12" s="1510"/>
      <c r="F12" s="1510"/>
      <c r="G12" s="1510"/>
      <c r="H12" s="1510"/>
      <c r="I12" s="1510"/>
      <c r="K12" s="1510"/>
      <c r="L12" s="1510"/>
      <c r="M12" s="1510"/>
      <c r="N12" s="1510"/>
    </row>
    <row r="13" spans="2:14" ht="18.75" customHeight="1">
      <c r="B13" s="1510"/>
      <c r="C13" s="1510"/>
      <c r="D13" s="1510"/>
      <c r="F13" s="1510"/>
      <c r="G13" s="1510"/>
      <c r="H13" s="1510"/>
      <c r="I13" s="1510"/>
      <c r="K13" s="1510"/>
      <c r="L13" s="1510"/>
      <c r="M13" s="1510"/>
      <c r="N13" s="1510"/>
    </row>
    <row r="14" spans="2:14" ht="18.75" customHeight="1">
      <c r="B14" s="1510"/>
      <c r="C14" s="1510"/>
      <c r="D14" s="1510"/>
      <c r="F14" s="1510"/>
      <c r="G14" s="1510"/>
      <c r="H14" s="1510"/>
      <c r="I14" s="1510"/>
      <c r="K14" s="1510"/>
      <c r="L14" s="1510"/>
      <c r="M14" s="1510"/>
      <c r="N14" s="1510"/>
    </row>
    <row r="15" spans="2:14" ht="18.75" customHeight="1">
      <c r="B15" s="1510"/>
      <c r="C15" s="1510"/>
      <c r="D15" s="1510"/>
      <c r="F15" s="1510"/>
      <c r="G15" s="1510"/>
      <c r="H15" s="1510"/>
      <c r="I15" s="1510"/>
      <c r="K15" s="1510"/>
      <c r="L15" s="1510"/>
      <c r="M15" s="1510"/>
      <c r="N15" s="1510"/>
    </row>
    <row r="16" spans="2:14" ht="18.75" customHeight="1">
      <c r="B16" s="1510"/>
      <c r="C16" s="1510"/>
      <c r="D16" s="1510"/>
      <c r="F16" s="1510"/>
      <c r="G16" s="1510"/>
      <c r="H16" s="1510"/>
      <c r="I16" s="1510"/>
      <c r="K16" s="1510"/>
      <c r="L16" s="1510"/>
      <c r="M16" s="1510"/>
      <c r="N16" s="1510"/>
    </row>
    <row r="17" spans="2:14" ht="18.75" customHeight="1">
      <c r="B17" s="1510"/>
      <c r="C17" s="1510"/>
      <c r="D17" s="1510"/>
      <c r="F17" s="1510"/>
      <c r="G17" s="1510"/>
      <c r="H17" s="1510"/>
      <c r="I17" s="1510"/>
      <c r="K17" s="1510"/>
      <c r="L17" s="1510"/>
      <c r="M17" s="1510"/>
      <c r="N17" s="1510"/>
    </row>
    <row r="18" spans="2:14" ht="18.75" customHeight="1">
      <c r="B18" s="1510"/>
      <c r="C18" s="1510"/>
      <c r="D18" s="1510"/>
      <c r="F18" s="1510"/>
      <c r="G18" s="1510"/>
      <c r="H18" s="1510"/>
      <c r="I18" s="1510"/>
      <c r="K18" s="1510"/>
      <c r="L18" s="1510"/>
      <c r="M18" s="1510"/>
      <c r="N18" s="1510"/>
    </row>
    <row r="19" spans="2:14" ht="18.75" customHeight="1">
      <c r="B19" s="1510"/>
      <c r="C19" s="1510"/>
      <c r="D19" s="1510"/>
      <c r="F19" s="1510"/>
      <c r="G19" s="1510"/>
      <c r="H19" s="1510"/>
      <c r="I19" s="1510"/>
      <c r="K19" s="1510"/>
      <c r="L19" s="1510"/>
      <c r="M19" s="1510"/>
      <c r="N19" s="1510"/>
    </row>
    <row r="20" spans="2:14" ht="18.75" customHeight="1">
      <c r="B20" s="1510"/>
      <c r="C20" s="1510"/>
      <c r="D20" s="1510"/>
      <c r="F20" s="1510"/>
      <c r="G20" s="1510"/>
      <c r="H20" s="1510"/>
      <c r="I20" s="1510"/>
      <c r="K20" s="1510"/>
      <c r="L20" s="1510"/>
      <c r="M20" s="1510"/>
      <c r="N20" s="1510"/>
    </row>
    <row r="21" spans="2:14" ht="18.75" customHeight="1">
      <c r="B21" s="1510"/>
      <c r="C21" s="1510"/>
      <c r="D21" s="1510"/>
      <c r="F21" s="1510"/>
      <c r="G21" s="1510"/>
      <c r="H21" s="1510"/>
      <c r="I21" s="1510"/>
      <c r="K21" s="1510"/>
      <c r="L21" s="1510"/>
      <c r="M21" s="1510"/>
      <c r="N21" s="1510"/>
    </row>
    <row r="22" spans="2:14" ht="18.75" customHeight="1">
      <c r="B22" s="1510"/>
      <c r="C22" s="1510"/>
      <c r="D22" s="1510"/>
      <c r="F22" s="1510"/>
      <c r="G22" s="1510"/>
      <c r="H22" s="1510"/>
      <c r="I22" s="1510"/>
      <c r="K22" s="1510"/>
      <c r="L22" s="1510"/>
      <c r="M22" s="1510"/>
      <c r="N22" s="1510"/>
    </row>
    <row r="23" spans="2:14" ht="18.75" customHeight="1">
      <c r="B23" s="1510"/>
      <c r="C23" s="1510"/>
      <c r="D23" s="1510"/>
      <c r="F23" s="1510"/>
      <c r="G23" s="1510"/>
      <c r="H23" s="1510"/>
      <c r="I23" s="1510"/>
      <c r="K23" s="1510"/>
      <c r="L23" s="1510"/>
      <c r="M23" s="1510"/>
      <c r="N23" s="1510"/>
    </row>
    <row r="24" spans="2:14" ht="18.75" customHeight="1">
      <c r="B24" s="1510"/>
      <c r="C24" s="1510"/>
      <c r="D24" s="1510"/>
      <c r="F24" s="1510"/>
      <c r="G24" s="1510"/>
      <c r="H24" s="1510"/>
      <c r="I24" s="1510"/>
      <c r="K24" s="1510"/>
      <c r="L24" s="1510"/>
      <c r="M24" s="1510"/>
      <c r="N24" s="1510"/>
    </row>
    <row r="25" spans="2:14" ht="18.75" customHeight="1">
      <c r="B25" s="1510"/>
      <c r="C25" s="1510"/>
      <c r="D25" s="1510"/>
      <c r="F25" s="1510"/>
      <c r="G25" s="1510"/>
      <c r="H25" s="1510"/>
      <c r="I25" s="1510"/>
      <c r="K25" s="1510"/>
      <c r="L25" s="1510"/>
      <c r="M25" s="1510"/>
      <c r="N25" s="1510"/>
    </row>
    <row r="26" spans="2:14" ht="18.75" customHeight="1">
      <c r="B26" s="1510"/>
      <c r="C26" s="1510"/>
      <c r="D26" s="1510"/>
      <c r="F26" s="1510"/>
      <c r="G26" s="1510"/>
      <c r="H26" s="1510"/>
      <c r="I26" s="1510"/>
      <c r="K26" s="1510"/>
      <c r="L26" s="1510"/>
      <c r="M26" s="1510"/>
      <c r="N26" s="1510"/>
    </row>
    <row r="27" spans="2:14" ht="18.75" customHeight="1">
      <c r="B27" s="1510"/>
      <c r="C27" s="1510"/>
      <c r="D27" s="1510"/>
      <c r="F27" s="1510"/>
      <c r="G27" s="1510"/>
      <c r="H27" s="1510"/>
      <c r="I27" s="1510"/>
      <c r="K27" s="1510"/>
      <c r="L27" s="1510"/>
      <c r="M27" s="1510"/>
      <c r="N27" s="1510"/>
    </row>
    <row r="28" spans="2:14" ht="18.75" customHeight="1">
      <c r="B28" s="1510"/>
      <c r="C28" s="1510"/>
      <c r="D28" s="1510"/>
      <c r="F28" s="1510"/>
      <c r="G28" s="1510"/>
      <c r="H28" s="1510"/>
      <c r="I28" s="1510"/>
      <c r="K28" s="1510"/>
      <c r="L28" s="1510"/>
      <c r="M28" s="1510"/>
      <c r="N28" s="1510"/>
    </row>
    <row r="29" spans="2:14" ht="18.75" customHeight="1">
      <c r="B29" s="1510"/>
      <c r="C29" s="1510"/>
      <c r="D29" s="1510"/>
      <c r="F29" s="1510"/>
      <c r="G29" s="1510"/>
      <c r="H29" s="1510"/>
      <c r="I29" s="1510"/>
      <c r="K29" s="1510"/>
      <c r="L29" s="1510"/>
      <c r="M29" s="1510"/>
      <c r="N29" s="1510"/>
    </row>
    <row r="30" spans="2:14" ht="18.75" customHeight="1">
      <c r="B30" s="1510"/>
      <c r="C30" s="1510"/>
      <c r="D30" s="1510"/>
      <c r="F30" s="1510"/>
      <c r="G30" s="1510"/>
      <c r="H30" s="1510"/>
      <c r="I30" s="1510"/>
      <c r="K30" s="1510"/>
      <c r="L30" s="1510"/>
      <c r="M30" s="1510"/>
      <c r="N30" s="1510"/>
    </row>
    <row r="31" spans="2:14" ht="18.75" customHeight="1">
      <c r="B31" s="1510"/>
      <c r="C31" s="1510"/>
      <c r="D31" s="1510"/>
      <c r="F31" s="1510"/>
      <c r="G31" s="1510"/>
      <c r="H31" s="1510"/>
      <c r="I31" s="1510"/>
      <c r="K31" s="1510"/>
      <c r="L31" s="1510"/>
      <c r="M31" s="1510"/>
      <c r="N31" s="1510"/>
    </row>
    <row r="32" spans="2:14" ht="18.75" customHeight="1">
      <c r="B32" s="1510"/>
      <c r="C32" s="1510"/>
      <c r="D32" s="1510"/>
      <c r="F32" s="1510"/>
      <c r="G32" s="1510"/>
      <c r="H32" s="1510"/>
      <c r="I32" s="1510"/>
      <c r="K32" s="1510"/>
      <c r="L32" s="1510"/>
      <c r="M32" s="1510"/>
      <c r="N32" s="1510"/>
    </row>
    <row r="33" spans="2:14" ht="18.75" customHeight="1">
      <c r="B33" s="1510"/>
      <c r="C33" s="1510"/>
      <c r="D33" s="1510"/>
      <c r="F33" s="1510"/>
      <c r="G33" s="1510"/>
      <c r="H33" s="1510"/>
      <c r="I33" s="1510"/>
      <c r="K33" s="1510"/>
      <c r="L33" s="1510"/>
      <c r="M33" s="1510"/>
      <c r="N33" s="1510"/>
    </row>
    <row r="34" spans="2:14" ht="18.75" customHeight="1">
      <c r="B34" s="1510"/>
      <c r="C34" s="1510"/>
      <c r="D34" s="1510"/>
      <c r="F34" s="1510"/>
      <c r="G34" s="1510"/>
      <c r="H34" s="1510"/>
      <c r="I34" s="1510"/>
      <c r="K34" s="1510"/>
      <c r="L34" s="1510"/>
      <c r="M34" s="1510"/>
      <c r="N34" s="1510"/>
    </row>
    <row r="35" spans="2:14" ht="18.75" customHeight="1">
      <c r="B35" s="1510"/>
      <c r="C35" s="1510"/>
      <c r="D35" s="1510"/>
      <c r="F35" s="1510"/>
      <c r="G35" s="1510"/>
      <c r="H35" s="1510"/>
      <c r="I35" s="1510"/>
      <c r="K35" s="1510"/>
      <c r="L35" s="1510"/>
      <c r="M35" s="1510"/>
      <c r="N35" s="1510"/>
    </row>
    <row r="36" spans="2:14" ht="18.75" customHeight="1">
      <c r="B36" s="1510"/>
      <c r="C36" s="1510"/>
      <c r="D36" s="1510"/>
      <c r="F36" s="1510"/>
      <c r="G36" s="1510"/>
      <c r="H36" s="1510"/>
      <c r="I36" s="1510"/>
      <c r="K36" s="1510"/>
      <c r="L36" s="1510"/>
      <c r="M36" s="1510"/>
      <c r="N36" s="1510"/>
    </row>
    <row r="37" spans="2:14" ht="18.75" customHeight="1">
      <c r="B37" s="1510"/>
      <c r="C37" s="1510"/>
      <c r="D37" s="1510"/>
      <c r="F37" s="1510"/>
      <c r="G37" s="1510"/>
      <c r="H37" s="1510"/>
      <c r="I37" s="1510"/>
      <c r="K37" s="1510"/>
      <c r="L37" s="1510"/>
      <c r="M37" s="1510"/>
      <c r="N37" s="1510"/>
    </row>
    <row r="38" spans="2:14" ht="18.75" customHeight="1">
      <c r="B38" s="1510"/>
      <c r="C38" s="1510"/>
      <c r="D38" s="1510"/>
      <c r="F38" s="1510"/>
      <c r="G38" s="1510"/>
      <c r="H38" s="1510"/>
      <c r="I38" s="1510"/>
      <c r="K38" s="1510"/>
      <c r="L38" s="1510"/>
      <c r="M38" s="1510"/>
      <c r="N38" s="1510"/>
    </row>
    <row r="39" spans="2:14" ht="18.75" customHeight="1">
      <c r="B39" s="1510"/>
      <c r="C39" s="1510"/>
      <c r="D39" s="1510"/>
      <c r="F39" s="1510"/>
      <c r="G39" s="1510"/>
      <c r="H39" s="1510"/>
      <c r="I39" s="1510"/>
      <c r="K39" s="1510"/>
      <c r="L39" s="1510"/>
      <c r="M39" s="1510"/>
      <c r="N39" s="1510"/>
    </row>
    <row r="40" spans="2:14" ht="18.75" customHeight="1">
      <c r="B40" s="1510"/>
      <c r="C40" s="1510"/>
      <c r="D40" s="1510"/>
      <c r="F40" s="1510"/>
      <c r="G40" s="1510"/>
      <c r="H40" s="1510"/>
      <c r="I40" s="1510"/>
      <c r="K40" s="1510"/>
      <c r="L40" s="1510"/>
      <c r="M40" s="1510"/>
      <c r="N40" s="1510"/>
    </row>
    <row r="41" spans="2:14" ht="18.75" customHeight="1">
      <c r="B41" s="1510"/>
      <c r="C41" s="1510"/>
      <c r="D41" s="1510"/>
      <c r="F41" s="1510"/>
      <c r="G41" s="1510"/>
      <c r="H41" s="1510"/>
      <c r="I41" s="1510"/>
      <c r="K41" s="1510"/>
      <c r="L41" s="1510"/>
      <c r="M41" s="1510"/>
      <c r="N41" s="1510"/>
    </row>
    <row r="42" spans="2:14" ht="18.75" customHeight="1">
      <c r="B42" s="1510"/>
      <c r="C42" s="1510"/>
      <c r="D42" s="1510"/>
      <c r="F42" s="1510"/>
      <c r="G42" s="1510"/>
      <c r="H42" s="1510"/>
      <c r="I42" s="1510"/>
      <c r="K42" s="1510"/>
      <c r="L42" s="1510"/>
      <c r="M42" s="1510"/>
      <c r="N42" s="1510"/>
    </row>
    <row r="43" spans="2:14" ht="18.75" customHeight="1"/>
    <row r="44" spans="2:14" ht="18.75" customHeight="1"/>
    <row r="45" spans="2:14" ht="18.75" customHeight="1"/>
    <row r="46" spans="2:14" ht="18.75" customHeight="1"/>
    <row r="47" spans="2:14" ht="18.75" customHeight="1"/>
    <row r="48" spans="2:14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</sheetData>
  <mergeCells count="3">
    <mergeCell ref="B2:D2"/>
    <mergeCell ref="K2:N2"/>
    <mergeCell ref="F2:I2"/>
  </mergeCells>
  <pageMargins left="0.25" right="0.25" top="0.75" bottom="0.75" header="0.3" footer="0.3"/>
  <pageSetup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ITINERARIO</vt:lpstr>
      <vt:lpstr>ALEJANDRA</vt:lpstr>
      <vt:lpstr>1</vt:lpstr>
      <vt:lpstr>2</vt:lpstr>
      <vt:lpstr>3</vt:lpstr>
      <vt:lpstr>4</vt:lpstr>
      <vt:lpstr>cheques y $</vt:lpstr>
      <vt:lpstr>'1'!Área_de_impresión</vt:lpstr>
      <vt:lpstr>'2'!Área_de_impresión</vt:lpstr>
      <vt:lpstr>'3'!Área_de_impresión</vt:lpstr>
      <vt:lpstr>'4'!Área_de_impresión</vt:lpstr>
      <vt:lpstr>ALEJANDRA!Área_de_impresión</vt:lpstr>
      <vt:lpstr>ITINERARIO!Área_de_impresión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Osake</dc:creator>
  <cp:lastModifiedBy>Felipe Páez Muñoz</cp:lastModifiedBy>
  <cp:lastPrinted>2026-05-22T21:09:27Z</cp:lastPrinted>
  <dcterms:created xsi:type="dcterms:W3CDTF">2014-11-12T00:58:13Z</dcterms:created>
  <dcterms:modified xsi:type="dcterms:W3CDTF">2026-05-25T20:53:41Z</dcterms:modified>
</cp:coreProperties>
</file>